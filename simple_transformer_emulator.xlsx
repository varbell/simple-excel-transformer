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simple-excel-transformer\"/>
    </mc:Choice>
  </mc:AlternateContent>
  <xr:revisionPtr revIDLastSave="0" documentId="13_ncr:1_{783DC78D-16E8-46D3-816B-117DE97313E1}" xr6:coauthVersionLast="47" xr6:coauthVersionMax="47" xr10:uidLastSave="{00000000-0000-0000-0000-000000000000}"/>
  <bookViews>
    <workbookView xWindow="1755" yWindow="780" windowWidth="31305" windowHeight="19140" xr2:uid="{29A3BCC4-0CC3-465F-85C9-DF7B56BC0285}"/>
  </bookViews>
  <sheets>
    <sheet name="base_model" sheetId="1" r:id="rId1"/>
    <sheet name="color_coding" sheetId="2" r:id="rId2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7" i="1" l="1" a="1"/>
  <c r="B127" i="1" a="1"/>
  <c r="T17" i="2"/>
  <c r="S17" i="2"/>
  <c r="R17" i="2"/>
  <c r="T14" i="2"/>
  <c r="S14" i="2"/>
  <c r="R14" i="2"/>
  <c r="T11" i="2"/>
  <c r="S11" i="2"/>
  <c r="R11" i="2"/>
  <c r="T8" i="2"/>
  <c r="S8" i="2"/>
  <c r="R8" i="2"/>
  <c r="T5" i="2"/>
  <c r="S5" i="2"/>
  <c r="R5" i="2"/>
  <c r="T2" i="2"/>
  <c r="S2" i="2"/>
  <c r="R2" i="2"/>
  <c r="S66" i="1"/>
  <c r="W62" i="1" s="1"/>
  <c r="S65" i="1"/>
  <c r="V62" i="1" s="1"/>
  <c r="S64" i="1"/>
  <c r="U62" i="1" s="1"/>
  <c r="S63" i="1"/>
  <c r="T62" i="1" s="1"/>
  <c r="M66" i="1"/>
  <c r="Q62" i="1" s="1"/>
  <c r="M65" i="1"/>
  <c r="P62" i="1" s="1"/>
  <c r="M64" i="1"/>
  <c r="O62" i="1" s="1"/>
  <c r="M63" i="1"/>
  <c r="N62" i="1" s="1"/>
  <c r="G66" i="1"/>
  <c r="K62" i="1" s="1"/>
  <c r="G65" i="1"/>
  <c r="J62" i="1" s="1"/>
  <c r="G64" i="1"/>
  <c r="I62" i="1" s="1"/>
  <c r="G63" i="1"/>
  <c r="H62" i="1" s="1"/>
  <c r="A66" i="1"/>
  <c r="E62" i="1" s="1"/>
  <c r="A65" i="1"/>
  <c r="D62" i="1" s="1"/>
  <c r="A64" i="1"/>
  <c r="C62" i="1" s="1"/>
  <c r="A63" i="1"/>
  <c r="B62" i="1" s="1"/>
  <c r="A81" i="1" a="1"/>
  <c r="E80" i="1"/>
  <c r="D80" i="1"/>
  <c r="C80" i="1"/>
  <c r="B80" i="1"/>
  <c r="A159" i="1" a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B37" i="1" l="1" a="1"/>
  <c r="V37" i="1" a="1"/>
  <c r="L37" i="1" a="1"/>
  <c r="H80" i="1" a="1"/>
  <c r="N80" i="1" s="1" a="1"/>
  <c r="T80" i="1" s="1" a="1"/>
  <c r="G81" i="1" a="1"/>
  <c r="M81" i="1" s="1" a="1"/>
  <c r="S81" i="1" s="1" a="1"/>
  <c r="D43" i="1" l="1"/>
  <c r="D57" i="1" s="1"/>
  <c r="F43" i="1"/>
  <c r="F57" i="1" s="1"/>
  <c r="E43" i="1"/>
  <c r="E57" i="1" s="1"/>
  <c r="C44" i="1"/>
  <c r="C58" i="1" s="1"/>
  <c r="I43" i="1"/>
  <c r="I57" i="1" s="1"/>
  <c r="H43" i="1"/>
  <c r="H57" i="1" s="1"/>
  <c r="C43" i="1"/>
  <c r="C57" i="1" s="1"/>
  <c r="G43" i="1"/>
  <c r="G57" i="1" s="1"/>
  <c r="B43" i="1"/>
  <c r="B57" i="1" s="1"/>
  <c r="C45" i="1"/>
  <c r="C59" i="1" s="1"/>
  <c r="B45" i="1"/>
  <c r="B59" i="1" s="1"/>
  <c r="E45" i="1"/>
  <c r="E59" i="1" s="1"/>
  <c r="D45" i="1"/>
  <c r="D59" i="1" s="1"/>
  <c r="I45" i="1"/>
  <c r="I59" i="1" s="1"/>
  <c r="H45" i="1"/>
  <c r="H59" i="1" s="1"/>
  <c r="G45" i="1"/>
  <c r="G59" i="1" s="1"/>
  <c r="F45" i="1"/>
  <c r="F59" i="1" s="1"/>
  <c r="C42" i="1"/>
  <c r="C56" i="1" s="1"/>
  <c r="B42" i="1"/>
  <c r="B56" i="1" s="1"/>
  <c r="F42" i="1"/>
  <c r="F56" i="1" s="1"/>
  <c r="G42" i="1"/>
  <c r="G56" i="1" s="1"/>
  <c r="D42" i="1"/>
  <c r="D56" i="1" s="1"/>
  <c r="E42" i="1"/>
  <c r="E56" i="1" s="1"/>
  <c r="H42" i="1"/>
  <c r="H56" i="1" s="1"/>
  <c r="I42" i="1"/>
  <c r="I56" i="1" s="1"/>
  <c r="B44" i="1"/>
  <c r="B58" i="1" s="1"/>
  <c r="I44" i="1"/>
  <c r="I58" i="1" s="1"/>
  <c r="H44" i="1"/>
  <c r="H58" i="1" s="1"/>
  <c r="G44" i="1"/>
  <c r="G58" i="1" s="1"/>
  <c r="F44" i="1"/>
  <c r="F58" i="1" s="1"/>
  <c r="E44" i="1"/>
  <c r="E58" i="1" s="1"/>
  <c r="D44" i="1"/>
  <c r="D58" i="1" s="1"/>
  <c r="V42" i="1"/>
  <c r="V56" i="1" s="1"/>
  <c r="W44" i="1"/>
  <c r="W58" i="1" s="1"/>
  <c r="X44" i="1"/>
  <c r="X58" i="1" s="1"/>
  <c r="AC44" i="1"/>
  <c r="AC58" i="1" s="1"/>
  <c r="W42" i="1"/>
  <c r="W56" i="1" s="1"/>
  <c r="V43" i="1"/>
  <c r="V57" i="1" s="1"/>
  <c r="V45" i="1"/>
  <c r="V59" i="1" s="1"/>
  <c r="V44" i="1"/>
  <c r="V58" i="1" s="1"/>
  <c r="Z43" i="1"/>
  <c r="Z57" i="1" s="1"/>
  <c r="AA42" i="1"/>
  <c r="AA56" i="1" s="1"/>
  <c r="AC42" i="1"/>
  <c r="AC56" i="1" s="1"/>
  <c r="X42" i="1"/>
  <c r="X56" i="1" s="1"/>
  <c r="AC43" i="1"/>
  <c r="AC57" i="1" s="1"/>
  <c r="AB42" i="1"/>
  <c r="AB56" i="1" s="1"/>
  <c r="AB43" i="1"/>
  <c r="AB57" i="1" s="1"/>
  <c r="Z42" i="1"/>
  <c r="Z56" i="1" s="1"/>
  <c r="AA43" i="1"/>
  <c r="AA57" i="1" s="1"/>
  <c r="AB45" i="1"/>
  <c r="AB59" i="1" s="1"/>
  <c r="AA45" i="1"/>
  <c r="AA59" i="1" s="1"/>
  <c r="Y43" i="1"/>
  <c r="Y57" i="1" s="1"/>
  <c r="AB44" i="1"/>
  <c r="AB58" i="1" s="1"/>
  <c r="Z45" i="1"/>
  <c r="Z59" i="1" s="1"/>
  <c r="X43" i="1"/>
  <c r="X57" i="1" s="1"/>
  <c r="AA44" i="1"/>
  <c r="AA58" i="1" s="1"/>
  <c r="Z44" i="1"/>
  <c r="Z58" i="1" s="1"/>
  <c r="W45" i="1"/>
  <c r="W59" i="1" s="1"/>
  <c r="W43" i="1"/>
  <c r="W57" i="1" s="1"/>
  <c r="Y45" i="1"/>
  <c r="Y59" i="1" s="1"/>
  <c r="Y44" i="1"/>
  <c r="Y58" i="1" s="1"/>
  <c r="X45" i="1"/>
  <c r="X59" i="1" s="1"/>
  <c r="AC45" i="1"/>
  <c r="AC59" i="1" s="1"/>
  <c r="Y42" i="1"/>
  <c r="Y56" i="1" s="1"/>
  <c r="N45" i="1"/>
  <c r="N59" i="1" s="1"/>
  <c r="P44" i="1"/>
  <c r="P58" i="1" s="1"/>
  <c r="O44" i="1"/>
  <c r="O58" i="1" s="1"/>
  <c r="M45" i="1"/>
  <c r="M59" i="1" s="1"/>
  <c r="L45" i="1"/>
  <c r="L59" i="1" s="1"/>
  <c r="Q45" i="1"/>
  <c r="Q59" i="1" s="1"/>
  <c r="P45" i="1"/>
  <c r="P59" i="1" s="1"/>
  <c r="L43" i="1"/>
  <c r="S43" i="1"/>
  <c r="S57" i="1" s="1"/>
  <c r="S44" i="1"/>
  <c r="S58" i="1" s="1"/>
  <c r="L44" i="1"/>
  <c r="L58" i="1" s="1"/>
  <c r="Q42" i="1"/>
  <c r="Q56" i="1" s="1"/>
  <c r="P42" i="1"/>
  <c r="P56" i="1" s="1"/>
  <c r="Q44" i="1"/>
  <c r="Q58" i="1" s="1"/>
  <c r="N44" i="1"/>
  <c r="N58" i="1" s="1"/>
  <c r="O42" i="1"/>
  <c r="O56" i="1" s="1"/>
  <c r="N42" i="1"/>
  <c r="N56" i="1" s="1"/>
  <c r="M44" i="1"/>
  <c r="M58" i="1" s="1"/>
  <c r="O43" i="1"/>
  <c r="O57" i="1" s="1"/>
  <c r="S42" i="1"/>
  <c r="S56" i="1" s="1"/>
  <c r="R42" i="1"/>
  <c r="R56" i="1" s="1"/>
  <c r="N43" i="1"/>
  <c r="N57" i="1" s="1"/>
  <c r="M43" i="1"/>
  <c r="M57" i="1" s="1"/>
  <c r="R44" i="1"/>
  <c r="R58" i="1" s="1"/>
  <c r="Q43" i="1"/>
  <c r="Q57" i="1" s="1"/>
  <c r="S45" i="1"/>
  <c r="S59" i="1" s="1"/>
  <c r="R45" i="1"/>
  <c r="R59" i="1" s="1"/>
  <c r="P43" i="1"/>
  <c r="P57" i="1" s="1"/>
  <c r="R43" i="1"/>
  <c r="R57" i="1" s="1"/>
  <c r="O45" i="1"/>
  <c r="O59" i="1" s="1"/>
  <c r="L42" i="1"/>
  <c r="L56" i="1" s="1"/>
  <c r="M42" i="1"/>
  <c r="M56" i="1" s="1"/>
  <c r="L57" i="1" l="1"/>
  <c r="L47" i="1" a="1"/>
  <c r="N63" i="1" l="1" a="1"/>
  <c r="H63" i="1" a="1"/>
  <c r="T63" i="1" a="1"/>
  <c r="B63" i="1" a="1"/>
  <c r="B69" i="1" s="1"/>
  <c r="B75" i="1" s="1"/>
  <c r="Q71" i="1" l="1"/>
  <c r="Q77" i="1" s="1"/>
  <c r="R69" i="1"/>
  <c r="R75" i="1" s="1"/>
  <c r="L71" i="1"/>
  <c r="L77" i="1" s="1"/>
  <c r="N69" i="1"/>
  <c r="N75" i="1" s="1"/>
  <c r="N72" i="1"/>
  <c r="N78" i="1" s="1"/>
  <c r="M72" i="1"/>
  <c r="M78" i="1" s="1"/>
  <c r="M71" i="1"/>
  <c r="M77" i="1" s="1"/>
  <c r="L70" i="1"/>
  <c r="L76" i="1" s="1"/>
  <c r="N71" i="1"/>
  <c r="N77" i="1" s="1"/>
  <c r="O69" i="1"/>
  <c r="O75" i="1" s="1"/>
  <c r="O72" i="1"/>
  <c r="O78" i="1" s="1"/>
  <c r="L72" i="1"/>
  <c r="L78" i="1" s="1"/>
  <c r="O71" i="1"/>
  <c r="O77" i="1" s="1"/>
  <c r="N70" i="1"/>
  <c r="N76" i="1" s="1"/>
  <c r="M69" i="1"/>
  <c r="M75" i="1" s="1"/>
  <c r="M70" i="1"/>
  <c r="M76" i="1" s="1"/>
  <c r="O70" i="1"/>
  <c r="O76" i="1" s="1"/>
  <c r="G70" i="1"/>
  <c r="G76" i="1" s="1"/>
  <c r="J72" i="1"/>
  <c r="J78" i="1" s="1"/>
  <c r="I69" i="1"/>
  <c r="I75" i="1" s="1"/>
  <c r="H72" i="1"/>
  <c r="H78" i="1" s="1"/>
  <c r="I84" i="1" s="1"/>
  <c r="G71" i="1"/>
  <c r="G77" i="1" s="1"/>
  <c r="H69" i="1"/>
  <c r="H75" i="1" s="1"/>
  <c r="J69" i="1"/>
  <c r="J75" i="1" s="1"/>
  <c r="J71" i="1"/>
  <c r="J77" i="1" s="1"/>
  <c r="I71" i="1"/>
  <c r="I77" i="1" s="1"/>
  <c r="G72" i="1"/>
  <c r="G78" i="1" s="1"/>
  <c r="J70" i="1"/>
  <c r="J76" i="1" s="1"/>
  <c r="I72" i="1"/>
  <c r="I78" i="1" s="1"/>
  <c r="I70" i="1"/>
  <c r="I76" i="1" s="1"/>
  <c r="H71" i="1"/>
  <c r="H77" i="1" s="1"/>
  <c r="H70" i="1"/>
  <c r="H76" i="1" s="1"/>
  <c r="R72" i="1"/>
  <c r="R78" i="1" s="1"/>
  <c r="T69" i="1"/>
  <c r="T75" i="1" s="1"/>
  <c r="R71" i="1"/>
  <c r="R77" i="1" s="1"/>
  <c r="T71" i="1"/>
  <c r="T77" i="1" s="1"/>
  <c r="S71" i="1"/>
  <c r="S77" i="1" s="1"/>
  <c r="S69" i="1"/>
  <c r="S75" i="1" s="1"/>
  <c r="S70" i="1"/>
  <c r="S76" i="1" s="1"/>
  <c r="T70" i="1"/>
  <c r="T76" i="1" s="1"/>
  <c r="Q72" i="1"/>
  <c r="Q78" i="1" s="1"/>
  <c r="S72" i="1"/>
  <c r="S78" i="1" s="1"/>
  <c r="Q70" i="1"/>
  <c r="Q76" i="1" s="1"/>
  <c r="T72" i="1"/>
  <c r="T78" i="1" s="1"/>
  <c r="R70" i="1"/>
  <c r="R76" i="1" s="1"/>
  <c r="C72" i="1"/>
  <c r="C78" i="1" s="1"/>
  <c r="E70" i="1"/>
  <c r="E76" i="1" s="1"/>
  <c r="D69" i="1"/>
  <c r="D75" i="1" s="1"/>
  <c r="D72" i="1"/>
  <c r="D78" i="1" s="1"/>
  <c r="B70" i="1"/>
  <c r="B76" i="1" s="1"/>
  <c r="C71" i="1"/>
  <c r="C77" i="1" s="1"/>
  <c r="E72" i="1"/>
  <c r="E78" i="1" s="1"/>
  <c r="D70" i="1"/>
  <c r="D76" i="1" s="1"/>
  <c r="C70" i="1"/>
  <c r="C76" i="1" s="1"/>
  <c r="D71" i="1"/>
  <c r="D77" i="1" s="1"/>
  <c r="E69" i="1"/>
  <c r="E75" i="1" s="1"/>
  <c r="C69" i="1"/>
  <c r="C75" i="1" s="1"/>
  <c r="B72" i="1"/>
  <c r="B78" i="1" s="1"/>
  <c r="B71" i="1"/>
  <c r="B77" i="1" s="1"/>
  <c r="E71" i="1"/>
  <c r="E77" i="1" s="1"/>
  <c r="H82" i="1" l="1"/>
  <c r="J82" i="1"/>
  <c r="W84" i="1"/>
  <c r="N82" i="1"/>
  <c r="V84" i="1"/>
  <c r="P83" i="1"/>
  <c r="H84" i="1"/>
  <c r="O84" i="1"/>
  <c r="K83" i="1"/>
  <c r="H83" i="1"/>
  <c r="I83" i="1"/>
  <c r="W83" i="1"/>
  <c r="V83" i="1"/>
  <c r="W82" i="1"/>
  <c r="U82" i="1"/>
  <c r="U84" i="1"/>
  <c r="T84" i="1"/>
  <c r="Q84" i="1"/>
  <c r="L69" i="1"/>
  <c r="L75" i="1" s="1"/>
  <c r="N84" i="1"/>
  <c r="Q83" i="1"/>
  <c r="P82" i="1"/>
  <c r="O82" i="1"/>
  <c r="N83" i="1"/>
  <c r="O83" i="1"/>
  <c r="Q82" i="1"/>
  <c r="P84" i="1"/>
  <c r="G69" i="1"/>
  <c r="G75" i="1" s="1"/>
  <c r="J83" i="1"/>
  <c r="Q69" i="1"/>
  <c r="Q75" i="1" s="1"/>
  <c r="J84" i="1"/>
  <c r="K84" i="1"/>
  <c r="I82" i="1"/>
  <c r="K82" i="1"/>
  <c r="U83" i="1"/>
  <c r="T83" i="1"/>
  <c r="T82" i="1"/>
  <c r="V82" i="1"/>
  <c r="C81" i="1"/>
  <c r="E82" i="1"/>
  <c r="B81" i="1"/>
  <c r="E84" i="1"/>
  <c r="D82" i="1"/>
  <c r="E81" i="1"/>
  <c r="B82" i="1"/>
  <c r="B84" i="1"/>
  <c r="C82" i="1"/>
  <c r="D81" i="1"/>
  <c r="E83" i="1"/>
  <c r="D84" i="1"/>
  <c r="B83" i="1"/>
  <c r="C83" i="1"/>
  <c r="D83" i="1"/>
  <c r="C84" i="1"/>
  <c r="H81" i="1" l="1"/>
  <c r="J81" i="1"/>
  <c r="I81" i="1"/>
  <c r="K81" i="1"/>
  <c r="V81" i="1"/>
  <c r="W81" i="1"/>
  <c r="T81" i="1"/>
  <c r="U81" i="1"/>
  <c r="P81" i="1"/>
  <c r="O81" i="1"/>
  <c r="Q81" i="1"/>
  <c r="N81" i="1"/>
  <c r="B87" i="1" a="1"/>
  <c r="D87" i="1" l="1" a="1"/>
  <c r="H87" i="1" a="1"/>
  <c r="F87" i="1" a="1"/>
  <c r="B101" i="1" l="1" a="1"/>
  <c r="D106" i="1" l="1"/>
  <c r="E106" i="1"/>
  <c r="G106" i="1"/>
  <c r="I108" i="1"/>
  <c r="I106" i="1"/>
  <c r="I109" i="1"/>
  <c r="I114" i="1" s="1"/>
  <c r="I107" i="1"/>
  <c r="D109" i="1"/>
  <c r="E108" i="1"/>
  <c r="G108" i="1"/>
  <c r="E107" i="1"/>
  <c r="G107" i="1"/>
  <c r="H106" i="1"/>
  <c r="B106" i="1"/>
  <c r="B109" i="1"/>
  <c r="F109" i="1"/>
  <c r="C108" i="1"/>
  <c r="F108" i="1"/>
  <c r="D107" i="1"/>
  <c r="D108" i="1"/>
  <c r="H109" i="1"/>
  <c r="C106" i="1"/>
  <c r="F106" i="1"/>
  <c r="C109" i="1"/>
  <c r="B108" i="1"/>
  <c r="F107" i="1"/>
  <c r="H108" i="1"/>
  <c r="G109" i="1"/>
  <c r="C107" i="1"/>
  <c r="B107" i="1"/>
  <c r="E109" i="1"/>
  <c r="H107" i="1"/>
  <c r="E111" i="1" l="1"/>
  <c r="D114" i="1"/>
  <c r="H111" i="1"/>
  <c r="E112" i="1"/>
  <c r="B114" i="1"/>
  <c r="B111" i="1"/>
  <c r="D112" i="1"/>
  <c r="C111" i="1"/>
  <c r="G111" i="1"/>
  <c r="F111" i="1"/>
  <c r="B113" i="1"/>
  <c r="H113" i="1"/>
  <c r="B112" i="1"/>
  <c r="D111" i="1"/>
  <c r="E114" i="1"/>
  <c r="C114" i="1"/>
  <c r="H112" i="1"/>
  <c r="I113" i="1"/>
  <c r="E113" i="1"/>
  <c r="G113" i="1"/>
  <c r="G112" i="1"/>
  <c r="C113" i="1"/>
  <c r="H114" i="1"/>
  <c r="I111" i="1"/>
  <c r="F114" i="1"/>
  <c r="F113" i="1"/>
  <c r="D113" i="1"/>
  <c r="F112" i="1"/>
  <c r="G114" i="1"/>
  <c r="C112" i="1"/>
  <c r="I112" i="1"/>
  <c r="I132" i="1" l="1"/>
  <c r="O132" i="1"/>
  <c r="G132" i="1"/>
  <c r="J132" i="1"/>
  <c r="B132" i="1"/>
  <c r="H132" i="1"/>
  <c r="M132" i="1"/>
  <c r="Q132" i="1"/>
  <c r="P132" i="1"/>
  <c r="P135" i="1"/>
  <c r="K135" i="1"/>
  <c r="N135" i="1"/>
  <c r="D135" i="1"/>
  <c r="H135" i="1"/>
  <c r="E135" i="1"/>
  <c r="Q135" i="1"/>
  <c r="F135" i="1"/>
  <c r="N134" i="1"/>
  <c r="B134" i="1"/>
  <c r="E134" i="1"/>
  <c r="K134" i="1"/>
  <c r="M134" i="1"/>
  <c r="I134" i="1"/>
  <c r="L134" i="1"/>
  <c r="F134" i="1"/>
  <c r="J134" i="1"/>
  <c r="O134" i="1"/>
  <c r="P134" i="1"/>
  <c r="G134" i="1"/>
  <c r="H134" i="1"/>
  <c r="C134" i="1"/>
  <c r="Q134" i="1"/>
  <c r="D134" i="1"/>
  <c r="L132" i="1"/>
  <c r="K132" i="1"/>
  <c r="D132" i="1"/>
  <c r="C132" i="1"/>
  <c r="N132" i="1"/>
  <c r="E132" i="1"/>
  <c r="F132" i="1"/>
  <c r="G135" i="1"/>
  <c r="J135" i="1"/>
  <c r="B135" i="1"/>
  <c r="M135" i="1"/>
  <c r="C135" i="1"/>
  <c r="O135" i="1"/>
  <c r="I135" i="1"/>
  <c r="L135" i="1"/>
  <c r="E133" i="1"/>
  <c r="P133" i="1"/>
  <c r="D133" i="1"/>
  <c r="F133" i="1"/>
  <c r="N133" i="1"/>
  <c r="C133" i="1"/>
  <c r="L133" i="1"/>
  <c r="G133" i="1"/>
  <c r="J133" i="1"/>
  <c r="K133" i="1"/>
  <c r="O133" i="1"/>
  <c r="B133" i="1"/>
  <c r="M133" i="1"/>
  <c r="Q133" i="1"/>
  <c r="I133" i="1"/>
  <c r="H133" i="1"/>
  <c r="D144" i="1" l="1"/>
  <c r="B144" i="1"/>
  <c r="G144" i="1"/>
  <c r="H144" i="1"/>
  <c r="C144" i="1"/>
  <c r="E144" i="1"/>
  <c r="F144" i="1"/>
  <c r="I144" i="1"/>
  <c r="I145" i="1"/>
  <c r="F145" i="1"/>
  <c r="C145" i="1"/>
  <c r="H145" i="1"/>
  <c r="D145" i="1"/>
  <c r="B145" i="1"/>
  <c r="E145" i="1"/>
  <c r="G143" i="1"/>
  <c r="H143" i="1"/>
  <c r="C143" i="1"/>
  <c r="F143" i="1"/>
  <c r="B143" i="1"/>
  <c r="D143" i="1"/>
  <c r="I143" i="1"/>
  <c r="E143" i="1"/>
  <c r="G145" i="1"/>
  <c r="C142" i="1"/>
  <c r="D142" i="1"/>
  <c r="B142" i="1"/>
  <c r="E142" i="1"/>
  <c r="G142" i="1"/>
  <c r="I142" i="1"/>
  <c r="F142" i="1"/>
  <c r="H142" i="1"/>
  <c r="G150" i="1" l="1"/>
  <c r="I148" i="1"/>
  <c r="E148" i="1"/>
  <c r="H147" i="1"/>
  <c r="I149" i="1"/>
  <c r="C147" i="1"/>
  <c r="B147" i="1"/>
  <c r="E147" i="1"/>
  <c r="F147" i="1"/>
  <c r="I150" i="1"/>
  <c r="F150" i="1"/>
  <c r="D150" i="1"/>
  <c r="E150" i="1"/>
  <c r="G148" i="1"/>
  <c r="H148" i="1"/>
  <c r="C148" i="1"/>
  <c r="F148" i="1"/>
  <c r="D148" i="1"/>
  <c r="D147" i="1"/>
  <c r="G147" i="1"/>
  <c r="I147" i="1"/>
  <c r="D149" i="1"/>
  <c r="G149" i="1"/>
  <c r="C149" i="1"/>
  <c r="F149" i="1"/>
  <c r="C150" i="1"/>
  <c r="H150" i="1"/>
  <c r="B148" i="1"/>
  <c r="B149" i="1"/>
  <c r="H149" i="1"/>
  <c r="E149" i="1"/>
  <c r="B150" i="1"/>
  <c r="F154" i="1" l="1"/>
  <c r="C154" i="1"/>
  <c r="K154" i="1"/>
  <c r="M154" i="1"/>
  <c r="B154" i="1"/>
  <c r="I154" i="1"/>
  <c r="L154" i="1"/>
  <c r="E154" i="1"/>
  <c r="D154" i="1"/>
  <c r="G154" i="1"/>
  <c r="J154" i="1"/>
  <c r="H154" i="1"/>
  <c r="K155" i="1"/>
  <c r="C155" i="1"/>
  <c r="H155" i="1"/>
  <c r="M155" i="1"/>
  <c r="D155" i="1"/>
  <c r="J155" i="1"/>
  <c r="G155" i="1"/>
  <c r="I155" i="1"/>
  <c r="F155" i="1"/>
  <c r="L155" i="1"/>
  <c r="E155" i="1"/>
  <c r="B155" i="1"/>
  <c r="L156" i="1"/>
  <c r="J156" i="1"/>
  <c r="C156" i="1"/>
  <c r="K156" i="1"/>
  <c r="G156" i="1"/>
  <c r="E156" i="1"/>
  <c r="H156" i="1"/>
  <c r="I156" i="1"/>
  <c r="M156" i="1"/>
  <c r="D156" i="1"/>
  <c r="B156" i="1"/>
  <c r="F156" i="1"/>
  <c r="E153" i="1"/>
  <c r="D153" i="1"/>
  <c r="G153" i="1"/>
  <c r="F153" i="1"/>
  <c r="M153" i="1"/>
  <c r="I153" i="1"/>
  <c r="K153" i="1"/>
  <c r="L153" i="1"/>
  <c r="C153" i="1"/>
  <c r="B153" i="1"/>
  <c r="H153" i="1"/>
  <c r="J153" i="1"/>
  <c r="F161" i="1" l="1"/>
  <c r="J160" i="1"/>
  <c r="K162" i="1"/>
  <c r="H162" i="1"/>
  <c r="G160" i="1"/>
  <c r="H160" i="1"/>
  <c r="J159" i="1"/>
  <c r="K161" i="1"/>
  <c r="C161" i="1"/>
  <c r="H161" i="1"/>
  <c r="M161" i="1"/>
  <c r="D161" i="1"/>
  <c r="J161" i="1"/>
  <c r="G161" i="1"/>
  <c r="I161" i="1"/>
  <c r="L161" i="1"/>
  <c r="E161" i="1"/>
  <c r="B161" i="1"/>
  <c r="L162" i="1"/>
  <c r="C162" i="1"/>
  <c r="J162" i="1"/>
  <c r="G162" i="1"/>
  <c r="E162" i="1"/>
  <c r="I162" i="1"/>
  <c r="M162" i="1"/>
  <c r="D162" i="1"/>
  <c r="C160" i="1"/>
  <c r="M160" i="1"/>
  <c r="L160" i="1"/>
  <c r="D160" i="1"/>
  <c r="B162" i="1"/>
  <c r="F162" i="1"/>
  <c r="E159" i="1"/>
  <c r="G159" i="1"/>
  <c r="F159" i="1"/>
  <c r="I159" i="1"/>
  <c r="L159" i="1"/>
  <c r="H159" i="1"/>
  <c r="F160" i="1"/>
  <c r="K160" i="1"/>
  <c r="I160" i="1"/>
  <c r="E160" i="1"/>
  <c r="D159" i="1"/>
  <c r="M159" i="1"/>
  <c r="K159" i="1"/>
  <c r="C159" i="1"/>
  <c r="B159" i="1"/>
  <c r="B160" i="1"/>
  <c r="N18" i="1" l="1"/>
  <c r="N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<sst xmlns="http://schemas.openxmlformats.org/spreadsheetml/2006/main" count="137" uniqueCount="85">
  <si>
    <t>vocab</t>
  </si>
  <si>
    <t>(12,8)</t>
  </si>
  <si>
    <t>one</t>
  </si>
  <si>
    <t>two</t>
  </si>
  <si>
    <t>three</t>
  </si>
  <si>
    <t>four</t>
  </si>
  <si>
    <t>five</t>
  </si>
  <si>
    <t>plus</t>
  </si>
  <si>
    <t>equals</t>
  </si>
  <si>
    <t>six</t>
  </si>
  <si>
    <t>seven</t>
  </si>
  <si>
    <t>eight</t>
  </si>
  <si>
    <t>nine</t>
  </si>
  <si>
    <t>ten</t>
  </si>
  <si>
    <t>input</t>
  </si>
  <si>
    <t>(4,8)</t>
  </si>
  <si>
    <t>q</t>
  </si>
  <si>
    <t>(8,8)</t>
  </si>
  <si>
    <t>k</t>
  </si>
  <si>
    <t>v</t>
  </si>
  <si>
    <t>Q</t>
  </si>
  <si>
    <t>Q_head_1</t>
  </si>
  <si>
    <t>Q_head_2</t>
  </si>
  <si>
    <t>Q_head_3</t>
  </si>
  <si>
    <t>Q_head_4</t>
  </si>
  <si>
    <t>K</t>
  </si>
  <si>
    <t>K_head_1</t>
  </si>
  <si>
    <t>K_head_2</t>
  </si>
  <si>
    <t>K_head_3</t>
  </si>
  <si>
    <t>K_head_4</t>
  </si>
  <si>
    <t>V</t>
  </si>
  <si>
    <t>V_head_1</t>
  </si>
  <si>
    <t>V_head_2</t>
  </si>
  <si>
    <t>V_head_3</t>
  </si>
  <si>
    <t>V_head_4</t>
  </si>
  <si>
    <t>Q_ROPE</t>
  </si>
  <si>
    <t>Attention</t>
  </si>
  <si>
    <t>A_head_1</t>
  </si>
  <si>
    <t>A_head_2</t>
  </si>
  <si>
    <t>A_head_3</t>
  </si>
  <si>
    <t>A_head_4</t>
  </si>
  <si>
    <t>Scores</t>
  </si>
  <si>
    <t>Scale</t>
  </si>
  <si>
    <t>masking</t>
  </si>
  <si>
    <t>mask</t>
  </si>
  <si>
    <t>softmax</t>
  </si>
  <si>
    <t>Output</t>
  </si>
  <si>
    <t>projection</t>
  </si>
  <si>
    <t>matrix</t>
  </si>
  <si>
    <t>Add</t>
  </si>
  <si>
    <t>Residual</t>
  </si>
  <si>
    <t>Normalize</t>
  </si>
  <si>
    <t>FNN(exp)</t>
  </si>
  <si>
    <t>FNN(con)</t>
  </si>
  <si>
    <t>FNN</t>
  </si>
  <si>
    <t>Vocab</t>
  </si>
  <si>
    <t>Projection</t>
  </si>
  <si>
    <t>Answer</t>
  </si>
  <si>
    <t>Probability</t>
  </si>
  <si>
    <t>bias</t>
  </si>
  <si>
    <t>position</t>
  </si>
  <si>
    <t>K_ROPE</t>
  </si>
  <si>
    <t>o_bias</t>
  </si>
  <si>
    <t>gamma 1</t>
  </si>
  <si>
    <t>beta 1</t>
  </si>
  <si>
    <t>ReLU</t>
  </si>
  <si>
    <t>gamma 2</t>
  </si>
  <si>
    <t>beta 2</t>
  </si>
  <si>
    <t>Vocab weights (8,12)</t>
  </si>
  <si>
    <t>TRANS</t>
  </si>
  <si>
    <t>(no RoPE)</t>
  </si>
  <si>
    <t>RoPE</t>
  </si>
  <si>
    <t>Values</t>
  </si>
  <si>
    <t>R</t>
  </si>
  <si>
    <t>G</t>
  </si>
  <si>
    <t>B</t>
  </si>
  <si>
    <t>change</t>
  </si>
  <si>
    <t>-&gt;</t>
  </si>
  <si>
    <t>here</t>
  </si>
  <si>
    <t>try to</t>
  </si>
  <si>
    <t>&lt;-</t>
  </si>
  <si>
    <t>Concant</t>
  </si>
  <si>
    <t>Value</t>
  </si>
  <si>
    <t>FNN exp b</t>
  </si>
  <si>
    <t>FNN con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</si>
</sst>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family val="2"/>
    </font>
    <font>
      <sz val="11"/>
      <color theme="0"/>
      <name val="Aptos Narrow"/>
      <family val="2"/>
    </font>
    <font>
      <b/>
      <sz val="11"/>
      <color rgb="FFFF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7C1B3"/>
        <bgColor indexed="64"/>
      </patternFill>
    </fill>
    <fill>
      <patternFill patternType="solid">
        <fgColor rgb="FFC7BE6D"/>
        <bgColor indexed="64"/>
      </patternFill>
    </fill>
    <fill>
      <patternFill patternType="solid">
        <fgColor rgb="FFB8A69C"/>
        <bgColor indexed="64"/>
      </patternFill>
    </fill>
    <fill>
      <patternFill patternType="solid">
        <fgColor rgb="FFAAADC1"/>
        <bgColor indexed="64"/>
      </patternFill>
    </fill>
    <fill>
      <patternFill patternType="solid">
        <fgColor rgb="FF9992DF"/>
        <bgColor indexed="64"/>
      </patternFill>
    </fill>
    <fill>
      <patternFill patternType="solid">
        <fgColor rgb="FFE58EAC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9" fontId="0" fillId="0" borderId="0" xfId="1" applyFont="1"/>
    <xf numFmtId="11" fontId="0" fillId="0" borderId="0" xfId="0" applyNumberFormat="1"/>
    <xf numFmtId="164" fontId="0" fillId="0" borderId="0" xfId="0" applyNumberFormat="1"/>
    <xf numFmtId="9" fontId="3" fillId="0" borderId="0" xfId="1" applyFont="1"/>
    <xf numFmtId="0" fontId="2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164" fontId="0" fillId="2" borderId="4" xfId="0" applyNumberFormat="1" applyFill="1" applyBorder="1"/>
    <xf numFmtId="164" fontId="0" fillId="2" borderId="5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3" borderId="1" xfId="0" applyNumberFormat="1" applyFill="1" applyBorder="1"/>
    <xf numFmtId="164" fontId="0" fillId="3" borderId="2" xfId="0" applyNumberFormat="1" applyFill="1" applyBorder="1"/>
    <xf numFmtId="164" fontId="0" fillId="3" borderId="3" xfId="0" applyNumberFormat="1" applyFill="1" applyBorder="1"/>
    <xf numFmtId="164" fontId="0" fillId="4" borderId="1" xfId="0" applyNumberFormat="1" applyFill="1" applyBorder="1"/>
    <xf numFmtId="164" fontId="0" fillId="4" borderId="2" xfId="0" applyNumberFormat="1" applyFill="1" applyBorder="1"/>
    <xf numFmtId="164" fontId="0" fillId="4" borderId="3" xfId="0" applyNumberFormat="1" applyFill="1" applyBorder="1"/>
    <xf numFmtId="164" fontId="0" fillId="5" borderId="1" xfId="0" applyNumberFormat="1" applyFill="1" applyBorder="1"/>
    <xf numFmtId="164" fontId="0" fillId="5" borderId="2" xfId="0" applyNumberFormat="1" applyFill="1" applyBorder="1"/>
    <xf numFmtId="164" fontId="0" fillId="5" borderId="3" xfId="0" applyNumberForma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1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0" fontId="0" fillId="0" borderId="13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18" xfId="0" applyBorder="1"/>
    <xf numFmtId="0" fontId="4" fillId="0" borderId="0" xfId="0" applyFont="1"/>
    <xf numFmtId="0" fontId="4" fillId="0" borderId="0" xfId="0" quotePrefix="1" applyFont="1"/>
    <xf numFmtId="10" fontId="0" fillId="0" borderId="19" xfId="0" applyNumberFormat="1" applyBorder="1"/>
    <xf numFmtId="0" fontId="2" fillId="0" borderId="8" xfId="0" applyFont="1" applyBorder="1"/>
    <xf numFmtId="0" fontId="2" fillId="0" borderId="12" xfId="0" applyFont="1" applyBorder="1"/>
    <xf numFmtId="0" fontId="2" fillId="0" borderId="13" xfId="0" applyFont="1" applyBorder="1"/>
    <xf numFmtId="0" fontId="0" fillId="2" borderId="15" xfId="0" applyFill="1" applyBorder="1"/>
    <xf numFmtId="0" fontId="0" fillId="3" borderId="16" xfId="0" applyFill="1" applyBorder="1"/>
    <xf numFmtId="0" fontId="0" fillId="4" borderId="16" xfId="0" applyFill="1" applyBorder="1"/>
    <xf numFmtId="0" fontId="0" fillId="5" borderId="17" xfId="0" applyFill="1" applyBorder="1"/>
    <xf numFmtId="164" fontId="0" fillId="0" borderId="0" xfId="0" applyNumberFormat="1" applyBorder="1"/>
  </cellXfs>
  <cellStyles count="2"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mruColors>
      <color rgb="FFE58EAC"/>
      <color rgb="FF9992DF"/>
      <color rgb="FFAAADC1"/>
      <color rgb="FFB8A69C"/>
      <color rgb="FFC7BE6D"/>
      <color rgb="FF67C1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BF64-9172-488C-A6BA-43E1CBF5C87E}">
  <sheetPr codeName="Sheet1"/>
  <dimension ref="A1:AE162"/>
  <sheetViews>
    <sheetView tabSelected="1" workbookViewId="0"/>
  </sheetViews>
  <sheetFormatPr defaultRowHeight="15" x14ac:dyDescent="0.25"/>
  <cols>
    <col min="1" max="1" width="10" bestFit="1" customWidth="1"/>
    <col min="2" max="2" width="9.5703125" bestFit="1" customWidth="1"/>
    <col min="21" max="21" width="9.85546875" customWidth="1"/>
    <col min="31" max="31" width="8.28515625" bestFit="1" customWidth="1"/>
    <col min="32" max="33" width="9.5703125" bestFit="1" customWidth="1"/>
  </cols>
  <sheetData>
    <row r="1" spans="1:9" ht="15.75" thickBot="1" x14ac:dyDescent="0.3">
      <c r="A1" t="s">
        <v>0</v>
      </c>
      <c r="B1" t="s">
        <v>1</v>
      </c>
    </row>
    <row r="2" spans="1:9" ht="15.75" thickBot="1" x14ac:dyDescent="0.3">
      <c r="A2" t="s">
        <v>2</v>
      </c>
      <c r="B2" s="6">
        <v>1.8989480733899999</v>
      </c>
      <c r="C2" s="7">
        <v>1.53782844543</v>
      </c>
      <c r="D2" s="7">
        <v>1.01377952099</v>
      </c>
      <c r="E2" s="7">
        <v>-2.23739480972</v>
      </c>
      <c r="F2" s="7">
        <v>0.469589829445</v>
      </c>
      <c r="G2" s="7">
        <v>-1.14724195004</v>
      </c>
      <c r="H2" s="7">
        <v>-9.1805830597899998E-2</v>
      </c>
      <c r="I2" s="8">
        <v>-1.40178525448</v>
      </c>
    </row>
    <row r="3" spans="1:9" x14ac:dyDescent="0.25">
      <c r="A3" t="s">
        <v>3</v>
      </c>
      <c r="B3" s="3">
        <v>-0.40159517526600003</v>
      </c>
      <c r="C3" s="3">
        <v>2.01237869263</v>
      </c>
      <c r="D3" s="3">
        <v>0.113317415118</v>
      </c>
      <c r="E3" s="3">
        <v>-1.6461256742499999</v>
      </c>
      <c r="F3" s="3">
        <v>-1.0578277111100001</v>
      </c>
      <c r="G3" s="3">
        <v>-0.73396754264800002</v>
      </c>
      <c r="H3" s="3">
        <v>-0.42599785327900003</v>
      </c>
      <c r="I3" s="3">
        <v>0.45491826534300001</v>
      </c>
    </row>
    <row r="4" spans="1:9" x14ac:dyDescent="0.25">
      <c r="A4" t="s">
        <v>4</v>
      </c>
      <c r="B4" s="3">
        <v>1.9383572339999999</v>
      </c>
      <c r="C4" s="3">
        <v>0.18104352057</v>
      </c>
      <c r="D4" s="3">
        <v>-0.36657476425199997</v>
      </c>
      <c r="E4" s="3">
        <v>0.17548891901999999</v>
      </c>
      <c r="F4" s="3">
        <v>-1.0223315954200001</v>
      </c>
      <c r="G4" s="3">
        <v>0.77685385942499996</v>
      </c>
      <c r="H4" s="3">
        <v>1.03991103172</v>
      </c>
      <c r="I4" s="3">
        <v>1.3904798030900001</v>
      </c>
    </row>
    <row r="5" spans="1:9" x14ac:dyDescent="0.25">
      <c r="A5" t="s">
        <v>5</v>
      </c>
      <c r="B5" s="3">
        <v>1.3196814060199999</v>
      </c>
      <c r="C5" s="3">
        <v>1.2515349388100001</v>
      </c>
      <c r="D5" s="3">
        <v>0.31321263313300002</v>
      </c>
      <c r="E5" s="3">
        <v>1.5598076582</v>
      </c>
      <c r="F5" s="3">
        <v>-0.24859672784799999</v>
      </c>
      <c r="G5" s="3">
        <v>0.21984072029599999</v>
      </c>
      <c r="H5" s="3">
        <v>-3.8864497095300002E-2</v>
      </c>
      <c r="I5" s="3">
        <v>0.63433480262800002</v>
      </c>
    </row>
    <row r="6" spans="1:9" x14ac:dyDescent="0.25">
      <c r="A6" t="s">
        <v>6</v>
      </c>
      <c r="B6" s="3">
        <v>-1.1212171316099999</v>
      </c>
      <c r="C6" s="3">
        <v>-0.81256353855100005</v>
      </c>
      <c r="D6" s="3">
        <v>-4.8018958419600001E-2</v>
      </c>
      <c r="E6" s="3">
        <v>1.82479226589</v>
      </c>
      <c r="F6" s="3">
        <v>4.5323103666299998E-2</v>
      </c>
      <c r="G6" s="3">
        <v>-0.35202035307899998</v>
      </c>
      <c r="H6" s="3">
        <v>0.62526100873900003</v>
      </c>
      <c r="I6" s="3">
        <v>-0.56199896335599997</v>
      </c>
    </row>
    <row r="7" spans="1:9" x14ac:dyDescent="0.25">
      <c r="A7" t="s">
        <v>7</v>
      </c>
      <c r="B7" s="3">
        <v>-1.62172985077</v>
      </c>
      <c r="C7" s="3">
        <v>0.90439116954800003</v>
      </c>
      <c r="D7" s="3">
        <v>-0.75339096784600001</v>
      </c>
      <c r="E7" s="3">
        <v>-0.50689250230799998</v>
      </c>
      <c r="F7" s="3">
        <v>-1.2724831104300001</v>
      </c>
      <c r="G7" s="3">
        <v>2.0163106918299998</v>
      </c>
      <c r="H7" s="3">
        <v>-1.2519977092700001</v>
      </c>
      <c r="I7" s="3">
        <v>-0.49855604767799999</v>
      </c>
    </row>
    <row r="8" spans="1:9" x14ac:dyDescent="0.25">
      <c r="A8" t="s">
        <v>8</v>
      </c>
      <c r="B8" s="3">
        <v>-0.884277224541</v>
      </c>
      <c r="C8" s="3">
        <v>-0.67542916536300002</v>
      </c>
      <c r="D8" s="3">
        <v>0.13021598756300001</v>
      </c>
      <c r="E8" s="3">
        <v>0.47523784637499999</v>
      </c>
      <c r="F8" s="3">
        <v>-0.38556727766999999</v>
      </c>
      <c r="G8" s="3">
        <v>1.06284892559</v>
      </c>
      <c r="H8" s="3">
        <v>-0.56175851821900002</v>
      </c>
      <c r="I8" s="3">
        <v>-0.71408510208099996</v>
      </c>
    </row>
    <row r="9" spans="1:9" x14ac:dyDescent="0.25">
      <c r="A9" t="s">
        <v>9</v>
      </c>
      <c r="B9" s="3">
        <v>-1.3301603794100001</v>
      </c>
      <c r="C9" s="3">
        <v>-0.18715916573999999</v>
      </c>
      <c r="D9" s="3">
        <v>-0.122547015548</v>
      </c>
      <c r="E9" s="3">
        <v>1.2723253965400001</v>
      </c>
      <c r="F9" s="3">
        <v>-2.6725711300999998E-2</v>
      </c>
      <c r="G9" s="3">
        <v>1.7394837140999999</v>
      </c>
      <c r="H9" s="3">
        <v>-0.962535738945</v>
      </c>
      <c r="I9" s="3">
        <v>1.6519690752</v>
      </c>
    </row>
    <row r="10" spans="1:9" x14ac:dyDescent="0.25">
      <c r="A10" t="s">
        <v>10</v>
      </c>
      <c r="B10" s="3">
        <v>1.1063015461000001</v>
      </c>
      <c r="C10" s="3">
        <v>0.44177290797199997</v>
      </c>
      <c r="D10" s="3">
        <v>2.2965104579900002</v>
      </c>
      <c r="E10" s="3">
        <v>0.95095443725600004</v>
      </c>
      <c r="F10" s="3">
        <v>0.70446270704299996</v>
      </c>
      <c r="G10" s="3">
        <v>3.2476568594599999E-3</v>
      </c>
      <c r="H10" s="3">
        <v>-1.2092207670199999</v>
      </c>
      <c r="I10" s="3">
        <v>1.6182726621600001</v>
      </c>
    </row>
    <row r="11" spans="1:9" x14ac:dyDescent="0.25">
      <c r="A11" t="s">
        <v>11</v>
      </c>
      <c r="B11" s="3">
        <v>-0.403410881758</v>
      </c>
      <c r="C11" s="3">
        <v>7.2439350187799997E-2</v>
      </c>
      <c r="D11" s="3">
        <v>0.120307974517</v>
      </c>
      <c r="E11" s="3">
        <v>0.98189973831199995</v>
      </c>
      <c r="F11" s="3">
        <v>1.04472959042</v>
      </c>
      <c r="G11" s="3">
        <v>-0.45192250609399998</v>
      </c>
      <c r="H11" s="3">
        <v>-2.47629117966</v>
      </c>
      <c r="I11" s="3">
        <v>-0.35722273588199999</v>
      </c>
    </row>
    <row r="12" spans="1:9" x14ac:dyDescent="0.25">
      <c r="A12" t="s">
        <v>12</v>
      </c>
      <c r="B12" s="3">
        <v>-0.42892575263999999</v>
      </c>
      <c r="C12" s="3">
        <v>-0.87212109565700002</v>
      </c>
      <c r="D12" s="3">
        <v>-2.16493082047</v>
      </c>
      <c r="E12" s="3">
        <v>-0.442506760359</v>
      </c>
      <c r="F12" s="3">
        <v>1.15753901005</v>
      </c>
      <c r="G12" s="3">
        <v>0.81996244192099998</v>
      </c>
      <c r="H12" s="3">
        <v>0.84951972961400002</v>
      </c>
      <c r="I12" s="3">
        <v>0.34797179698899999</v>
      </c>
    </row>
    <row r="13" spans="1:9" x14ac:dyDescent="0.25">
      <c r="A13" t="s">
        <v>13</v>
      </c>
      <c r="B13" s="3">
        <v>0.74395197629900001</v>
      </c>
      <c r="C13" s="3">
        <v>-0.48158439993899999</v>
      </c>
      <c r="D13" s="3">
        <v>-1.0494660139100001</v>
      </c>
      <c r="E13" s="3">
        <v>0.60389882326099997</v>
      </c>
      <c r="F13" s="3">
        <v>-1.7222950458499999</v>
      </c>
      <c r="G13" s="3">
        <v>-0.82776886224699997</v>
      </c>
      <c r="H13" s="3">
        <v>1.3347029686</v>
      </c>
      <c r="I13" s="3">
        <v>0.48353928327599999</v>
      </c>
    </row>
    <row r="17" spans="1:29" ht="15.75" thickBot="1" x14ac:dyDescent="0.3">
      <c r="C17" t="s">
        <v>14</v>
      </c>
      <c r="D17" t="s">
        <v>15</v>
      </c>
    </row>
    <row r="18" spans="1:29" ht="15.75" thickBot="1" x14ac:dyDescent="0.3">
      <c r="A18" s="58" t="s">
        <v>79</v>
      </c>
      <c r="B18" s="59" t="s">
        <v>77</v>
      </c>
      <c r="C18" s="5" t="s">
        <v>2</v>
      </c>
      <c r="D18" s="9">
        <f>INDEX($B$2:$I$13,MATCH($C18,$A$2:$A$13,0),1)</f>
        <v>1.8989480733899999</v>
      </c>
      <c r="E18" s="10">
        <f>INDEX($B$2:$I$13,MATCH($C18,$A$2:$A$13,0),2)</f>
        <v>1.53782844543</v>
      </c>
      <c r="F18" s="10">
        <f>INDEX($B$2:$I$13,MATCH($C18,$A$2:$A$13,0),3)</f>
        <v>1.01377952099</v>
      </c>
      <c r="G18" s="10">
        <f>INDEX($B$2:$I$13,MATCH($C18,$A$2:$A$13,0),4)</f>
        <v>-2.23739480972</v>
      </c>
      <c r="H18" s="10">
        <f>INDEX($B$2:$I$13,MATCH($C18,$A$2:$A$13,0),5)</f>
        <v>0.469589829445</v>
      </c>
      <c r="I18" s="10">
        <f>INDEX($B$2:$I$13,MATCH($C18,$A$2:$A$13,0),6)</f>
        <v>-1.14724195004</v>
      </c>
      <c r="J18" s="10">
        <f>INDEX($B$2:$I$13,MATCH($C18,$A$2:$A$13,0),7)</f>
        <v>-9.1805830597899998E-2</v>
      </c>
      <c r="K18" s="11">
        <f>INDEX($B$2:$I$13,MATCH($C18,$A$2:$A$13,0),8)</f>
        <v>-1.40178525448</v>
      </c>
      <c r="N18" s="57" t="str">
        <f>INDEX($B$158:$M$158,1,MATCH(MAX($B$162:$M$162),$B$162:$M$162,0))</f>
        <v>three</v>
      </c>
      <c r="O18" s="58" t="s">
        <v>80</v>
      </c>
      <c r="P18" s="58" t="s">
        <v>57</v>
      </c>
    </row>
    <row r="19" spans="1:29" ht="15.75" thickBot="1" x14ac:dyDescent="0.3">
      <c r="A19" s="58" t="s">
        <v>76</v>
      </c>
      <c r="B19" s="59" t="s">
        <v>77</v>
      </c>
      <c r="C19" t="s">
        <v>7</v>
      </c>
      <c r="D19" s="20">
        <f>INDEX($B$2:$I$13,MATCH($C19,$A$2:$A$13,0),1)</f>
        <v>-1.62172985077</v>
      </c>
      <c r="E19" s="21">
        <f>INDEX($B$2:$I$13,MATCH($C19,$A$2:$A$13,0),2)</f>
        <v>0.90439116954800003</v>
      </c>
      <c r="F19" s="21">
        <f>INDEX($B$2:$I$13,MATCH($C19,$A$2:$A$13,0),3)</f>
        <v>-0.75339096784600001</v>
      </c>
      <c r="G19" s="21">
        <f>INDEX($B$2:$I$13,MATCH($C19,$A$2:$A$13,0),4)</f>
        <v>-0.50689250230799998</v>
      </c>
      <c r="H19" s="21">
        <f>INDEX($B$2:$I$13,MATCH($C19,$A$2:$A$13,0),5)</f>
        <v>-1.2724831104300001</v>
      </c>
      <c r="I19" s="21">
        <f>INDEX($B$2:$I$13,MATCH($C19,$A$2:$A$13,0),6)</f>
        <v>2.0163106918299998</v>
      </c>
      <c r="J19" s="21">
        <f>INDEX($B$2:$I$13,MATCH($C19,$A$2:$A$13,0),7)</f>
        <v>-1.2519977092700001</v>
      </c>
      <c r="K19" s="22">
        <f>INDEX($B$2:$I$13,MATCH($C19,$A$2:$A$13,0),8)</f>
        <v>-0.49855604767799999</v>
      </c>
    </row>
    <row r="20" spans="1:29" ht="15.75" thickBot="1" x14ac:dyDescent="0.3">
      <c r="A20" s="58" t="s">
        <v>14</v>
      </c>
      <c r="B20" s="59" t="s">
        <v>77</v>
      </c>
      <c r="C20" s="5" t="s">
        <v>3</v>
      </c>
      <c r="D20" s="23">
        <f>INDEX($B$2:$I$13,MATCH($C20,$A$2:$A$13,0),1)</f>
        <v>-0.40159517526600003</v>
      </c>
      <c r="E20" s="24">
        <f>INDEX($B$2:$I$13,MATCH($C20,$A$2:$A$13,0),2)</f>
        <v>2.01237869263</v>
      </c>
      <c r="F20" s="24">
        <f>INDEX($B$2:$I$13,MATCH($C20,$A$2:$A$13,0),3)</f>
        <v>0.113317415118</v>
      </c>
      <c r="G20" s="24">
        <f>INDEX($B$2:$I$13,MATCH($C20,$A$2:$A$13,0),4)</f>
        <v>-1.6461256742499999</v>
      </c>
      <c r="H20" s="24">
        <f>INDEX($B$2:$I$13,MATCH($C20,$A$2:$A$13,0),5)</f>
        <v>-1.0578277111100001</v>
      </c>
      <c r="I20" s="24">
        <f>INDEX($B$2:$I$13,MATCH($C20,$A$2:$A$13,0),6)</f>
        <v>-0.73396754264800002</v>
      </c>
      <c r="J20" s="24">
        <f>INDEX($B$2:$I$13,MATCH($C20,$A$2:$A$13,0),7)</f>
        <v>-0.42599785327900003</v>
      </c>
      <c r="K20" s="25">
        <f>INDEX($B$2:$I$13,MATCH($C20,$A$2:$A$13,0),8)</f>
        <v>0.45491826534300001</v>
      </c>
      <c r="N20" s="60">
        <f>MAX(B162:M162)</f>
        <v>0.99920655458234675</v>
      </c>
      <c r="O20" s="58" t="s">
        <v>80</v>
      </c>
      <c r="P20" s="58" t="s">
        <v>58</v>
      </c>
    </row>
    <row r="21" spans="1:29" ht="15.75" thickBot="1" x14ac:dyDescent="0.3">
      <c r="A21" s="58" t="s">
        <v>78</v>
      </c>
      <c r="B21" s="59" t="s">
        <v>77</v>
      </c>
      <c r="C21" t="s">
        <v>8</v>
      </c>
      <c r="D21" s="26">
        <f>INDEX($B$2:$I$13,MATCH($C21,$A$2:$A$13,0),1)</f>
        <v>-0.884277224541</v>
      </c>
      <c r="E21" s="27">
        <f>INDEX($B$2:$I$13,MATCH($C21,$A$2:$A$13,0),2)</f>
        <v>-0.67542916536300002</v>
      </c>
      <c r="F21" s="27">
        <f>INDEX($B$2:$I$13,MATCH($C21,$A$2:$A$13,0),3)</f>
        <v>0.13021598756300001</v>
      </c>
      <c r="G21" s="27">
        <f>INDEX($B$2:$I$13,MATCH($C21,$A$2:$A$13,0),4)</f>
        <v>0.47523784637499999</v>
      </c>
      <c r="H21" s="27">
        <f>INDEX($B$2:$I$13,MATCH($C21,$A$2:$A$13,0),5)</f>
        <v>-0.38556727766999999</v>
      </c>
      <c r="I21" s="27">
        <f>INDEX($B$2:$I$13,MATCH($C21,$A$2:$A$13,0),6)</f>
        <v>1.06284892559</v>
      </c>
      <c r="J21" s="27">
        <f>INDEX($B$2:$I$13,MATCH($C21,$A$2:$A$13,0),7)</f>
        <v>-0.56175851821900002</v>
      </c>
      <c r="K21" s="28">
        <f>INDEX($B$2:$I$13,MATCH($C21,$A$2:$A$13,0),8)</f>
        <v>-0.71408510208099996</v>
      </c>
    </row>
    <row r="24" spans="1:29" x14ac:dyDescent="0.25">
      <c r="A24" t="s">
        <v>16</v>
      </c>
      <c r="B24" t="s">
        <v>17</v>
      </c>
      <c r="K24" t="s">
        <v>18</v>
      </c>
      <c r="L24" t="s">
        <v>17</v>
      </c>
      <c r="U24" t="s">
        <v>19</v>
      </c>
      <c r="V24" t="s">
        <v>17</v>
      </c>
    </row>
    <row r="25" spans="1:29" x14ac:dyDescent="0.25">
      <c r="A25" t="s">
        <v>59</v>
      </c>
      <c r="B25" s="3">
        <v>0.309412002563</v>
      </c>
      <c r="C25" s="3">
        <v>0.10277427732900001</v>
      </c>
      <c r="D25" s="3">
        <v>0.19870102405500001</v>
      </c>
      <c r="E25" s="3">
        <v>-0.57178819179499996</v>
      </c>
      <c r="F25" s="3">
        <v>9.6939370268999997E-4</v>
      </c>
      <c r="G25" s="3">
        <v>5.7708583772199999E-2</v>
      </c>
      <c r="H25" s="3">
        <v>-0.242209017277</v>
      </c>
      <c r="I25" s="3">
        <v>0.71123671531699995</v>
      </c>
      <c r="K25" t="s">
        <v>59</v>
      </c>
      <c r="L25" s="3">
        <v>0.20037585496900001</v>
      </c>
      <c r="M25" s="3">
        <v>0.148056969047</v>
      </c>
      <c r="N25" s="3">
        <v>6.0913987457800002E-2</v>
      </c>
      <c r="O25" s="3">
        <v>7.6497308909900003E-2</v>
      </c>
      <c r="P25" s="3">
        <v>-0.23963724076699999</v>
      </c>
      <c r="Q25" s="3">
        <v>-0.27912566065799999</v>
      </c>
      <c r="R25" s="3">
        <v>-0.32652041316000002</v>
      </c>
      <c r="S25" s="3">
        <v>-0.50684213638300002</v>
      </c>
      <c r="U25" t="s">
        <v>59</v>
      </c>
      <c r="V25" s="3">
        <v>-0.52028542756999996</v>
      </c>
      <c r="W25" s="3">
        <v>0.105766326189</v>
      </c>
      <c r="X25" s="3">
        <v>2.9672833159599999E-2</v>
      </c>
      <c r="Y25" s="3">
        <v>0.113430097699</v>
      </c>
      <c r="Z25" s="3">
        <v>-0.207345664501</v>
      </c>
      <c r="AA25" s="3">
        <v>8.9640878140899993E-2</v>
      </c>
      <c r="AB25" s="3">
        <v>0.32163864374200002</v>
      </c>
      <c r="AC25" s="3">
        <v>4.80876788497E-2</v>
      </c>
    </row>
    <row r="26" spans="1:29" x14ac:dyDescent="0.25">
      <c r="B26" s="3"/>
      <c r="C26" s="3"/>
      <c r="D26" s="3"/>
      <c r="E26" s="3"/>
      <c r="F26" s="3"/>
      <c r="G26" s="3"/>
      <c r="H26" s="3"/>
      <c r="I26" s="3"/>
      <c r="L26" s="3"/>
      <c r="M26" s="3"/>
      <c r="N26" s="3"/>
      <c r="O26" s="3"/>
      <c r="P26" s="3"/>
      <c r="Q26" s="3"/>
      <c r="R26" s="3"/>
      <c r="S26" s="3"/>
      <c r="V26" s="3"/>
      <c r="W26" s="3"/>
      <c r="X26" s="3"/>
      <c r="Y26" s="3"/>
      <c r="Z26" s="3"/>
      <c r="AA26" s="3"/>
      <c r="AB26" s="3"/>
      <c r="AC26" s="3"/>
    </row>
    <row r="27" spans="1:29" x14ac:dyDescent="0.25">
      <c r="B27" s="3">
        <v>0.33189350366600001</v>
      </c>
      <c r="C27" s="3">
        <v>-1.8690029159200001E-2</v>
      </c>
      <c r="D27" s="3">
        <v>-4.3977119028599999E-2</v>
      </c>
      <c r="E27" s="3">
        <v>0.261249929667</v>
      </c>
      <c r="F27" s="3">
        <v>0.44243955612199998</v>
      </c>
      <c r="G27" s="3">
        <v>-0.405911177397</v>
      </c>
      <c r="H27" s="3">
        <v>1.8489437177800001E-2</v>
      </c>
      <c r="I27" s="3">
        <v>-0.44616535305999999</v>
      </c>
      <c r="L27" s="3">
        <v>-4.8808548599499997E-3</v>
      </c>
      <c r="M27" s="3">
        <v>-0.29170283675199998</v>
      </c>
      <c r="N27" s="3">
        <v>0.239065781236</v>
      </c>
      <c r="O27" s="3">
        <v>0.37800508737600003</v>
      </c>
      <c r="P27" s="3">
        <v>-0.43022045493099997</v>
      </c>
      <c r="Q27" s="3">
        <v>-0.13183814287199999</v>
      </c>
      <c r="R27" s="3">
        <v>-0.22323274612399999</v>
      </c>
      <c r="S27" s="3">
        <v>-0.38646301627200003</v>
      </c>
      <c r="V27" s="3">
        <v>0.43335783481599999</v>
      </c>
      <c r="W27" s="3">
        <v>9.9926583468900002E-2</v>
      </c>
      <c r="X27" s="3">
        <v>-5.5962014943400001E-2</v>
      </c>
      <c r="Y27" s="3">
        <v>0.17641983926300001</v>
      </c>
      <c r="Z27" s="3">
        <v>0.32421568036100001</v>
      </c>
      <c r="AA27" s="3">
        <v>6.2984153628299996E-2</v>
      </c>
      <c r="AB27" s="3">
        <v>0.134128525853</v>
      </c>
      <c r="AC27" s="3">
        <v>0.126785889268</v>
      </c>
    </row>
    <row r="28" spans="1:29" x14ac:dyDescent="0.25">
      <c r="B28" s="3">
        <v>-9.4115242362000001E-2</v>
      </c>
      <c r="C28" s="3">
        <v>-0.25486782193200003</v>
      </c>
      <c r="D28" s="3">
        <v>-0.48393219709399998</v>
      </c>
      <c r="E28" s="3">
        <v>0.12922689318700001</v>
      </c>
      <c r="F28" s="3">
        <v>8.0838516354600001E-2</v>
      </c>
      <c r="G28" s="3">
        <v>-0.46132209896999998</v>
      </c>
      <c r="H28" s="3">
        <v>0.15591880679100001</v>
      </c>
      <c r="I28" s="3">
        <v>-0.67428112029999998</v>
      </c>
      <c r="L28" s="3">
        <v>-0.22264678776300001</v>
      </c>
      <c r="M28" s="3">
        <v>-6.0051925480399997E-2</v>
      </c>
      <c r="N28" s="3">
        <v>0.218438968062</v>
      </c>
      <c r="O28" s="3">
        <v>0.310177028179</v>
      </c>
      <c r="P28" s="3">
        <v>0.101179361343</v>
      </c>
      <c r="Q28" s="3">
        <v>8.7351873516999995E-2</v>
      </c>
      <c r="R28" s="3">
        <v>0.19429384172</v>
      </c>
      <c r="S28" s="3">
        <v>0.40329986810700003</v>
      </c>
      <c r="V28" s="3">
        <v>-9.6814952790700001E-2</v>
      </c>
      <c r="W28" s="3">
        <v>0.28209516406099999</v>
      </c>
      <c r="X28" s="3">
        <v>-0.26158529520000001</v>
      </c>
      <c r="Y28" s="3">
        <v>0.47818267345400001</v>
      </c>
      <c r="Z28" s="3">
        <v>0.45684203505499998</v>
      </c>
      <c r="AA28" s="3">
        <v>-0.224449306726</v>
      </c>
      <c r="AB28" s="3">
        <v>-0.149625942111</v>
      </c>
      <c r="AC28" s="3">
        <v>-9.1606363654100006E-2</v>
      </c>
    </row>
    <row r="29" spans="1:29" x14ac:dyDescent="0.25">
      <c r="B29" s="3">
        <v>-0.122828654945</v>
      </c>
      <c r="C29" s="3">
        <v>-0.300735622644</v>
      </c>
      <c r="D29" s="3">
        <v>-6.8500563502299994E-2</v>
      </c>
      <c r="E29" s="3">
        <v>-0.26879584789299998</v>
      </c>
      <c r="F29" s="3">
        <v>0.16495634615400001</v>
      </c>
      <c r="G29" s="3">
        <v>0.219711959362</v>
      </c>
      <c r="H29" s="3">
        <v>0.114429995418</v>
      </c>
      <c r="I29" s="3">
        <v>0.73649019002899996</v>
      </c>
      <c r="L29" s="3">
        <v>-0.21135774254799999</v>
      </c>
      <c r="M29" s="3">
        <v>0.29590147733700001</v>
      </c>
      <c r="N29" s="3">
        <v>0.34656423330300001</v>
      </c>
      <c r="O29" s="3">
        <v>0.34699231386200002</v>
      </c>
      <c r="P29" s="3">
        <v>0.474451929331</v>
      </c>
      <c r="Q29" s="3">
        <v>0.335243314505</v>
      </c>
      <c r="R29" s="3">
        <v>-0.28015744686100003</v>
      </c>
      <c r="S29" s="3">
        <v>-1.0170551948199999E-2</v>
      </c>
      <c r="V29" s="3">
        <v>-8.5524775087800001E-2</v>
      </c>
      <c r="W29" s="3">
        <v>-0.32103669643400001</v>
      </c>
      <c r="X29" s="3">
        <v>0.27781689167000001</v>
      </c>
      <c r="Y29" s="3">
        <v>-0.404587060213</v>
      </c>
      <c r="Z29" s="3">
        <v>0.40739387273799998</v>
      </c>
      <c r="AA29" s="3">
        <v>0.21474844217299999</v>
      </c>
      <c r="AB29" s="3">
        <v>0.117420300841</v>
      </c>
      <c r="AC29" s="3">
        <v>-0.48091900348700001</v>
      </c>
    </row>
    <row r="30" spans="1:29" x14ac:dyDescent="0.25">
      <c r="B30" s="3">
        <v>-0.36141932010700001</v>
      </c>
      <c r="C30" s="3">
        <v>-0.16969430446600001</v>
      </c>
      <c r="D30" s="3">
        <v>3.6404732614799998E-2</v>
      </c>
      <c r="E30" s="3">
        <v>-0.50203788280499995</v>
      </c>
      <c r="F30" s="3">
        <v>-3.8837131112800002E-2</v>
      </c>
      <c r="G30" s="3">
        <v>3.7056852132099999E-2</v>
      </c>
      <c r="H30" s="3">
        <v>0.20498548448100001</v>
      </c>
      <c r="I30" s="3">
        <v>0.14952851831899999</v>
      </c>
      <c r="L30" s="3">
        <v>-5.5288534611499997E-2</v>
      </c>
      <c r="M30" s="3">
        <v>-0.27991700172400003</v>
      </c>
      <c r="N30" s="3">
        <v>-2.8936828021E-3</v>
      </c>
      <c r="O30" s="3">
        <v>-8.0691156908899997E-3</v>
      </c>
      <c r="P30" s="3">
        <v>0.18629591167000001</v>
      </c>
      <c r="Q30" s="3">
        <v>0.117269128561</v>
      </c>
      <c r="R30" s="3">
        <v>-0.50752276182199996</v>
      </c>
      <c r="S30" s="3">
        <v>-0.32922950387</v>
      </c>
      <c r="V30" s="3">
        <v>-0.57780337333700005</v>
      </c>
      <c r="W30" s="3">
        <v>-0.64564502239199995</v>
      </c>
      <c r="X30" s="3">
        <v>0.54262709617600002</v>
      </c>
      <c r="Y30" s="3">
        <v>-2.35632508993E-2</v>
      </c>
      <c r="Z30" s="3">
        <v>-0.34938454627999999</v>
      </c>
      <c r="AA30" s="3">
        <v>-0.35414406657199998</v>
      </c>
      <c r="AB30" s="3">
        <v>0.260450661182</v>
      </c>
      <c r="AC30" s="3">
        <v>-0.54851764440499995</v>
      </c>
    </row>
    <row r="31" spans="1:29" x14ac:dyDescent="0.25">
      <c r="B31" s="3">
        <v>-0.17149943113300001</v>
      </c>
      <c r="C31" s="3">
        <v>-0.32800927758199999</v>
      </c>
      <c r="D31" s="3">
        <v>-9.9945031106500007E-2</v>
      </c>
      <c r="E31" s="3">
        <v>2.1499369293499999E-2</v>
      </c>
      <c r="F31" s="3">
        <v>-0.14417245984099999</v>
      </c>
      <c r="G31" s="3">
        <v>2.4714263156100001E-2</v>
      </c>
      <c r="H31" s="3">
        <v>0.402542442083</v>
      </c>
      <c r="I31" s="3">
        <v>-0.22408439219000001</v>
      </c>
      <c r="L31" s="3">
        <v>0.24475789070100001</v>
      </c>
      <c r="M31" s="3">
        <v>0.31950888037699998</v>
      </c>
      <c r="N31" s="3">
        <v>0.126816034317</v>
      </c>
      <c r="O31" s="3">
        <v>0.32092401385300001</v>
      </c>
      <c r="P31" s="3">
        <v>-0.399776518345</v>
      </c>
      <c r="Q31" s="3">
        <v>-0.34158334136000001</v>
      </c>
      <c r="R31" s="3">
        <v>-0.69652813673000002</v>
      </c>
      <c r="S31" s="3">
        <v>-0.32241785526299999</v>
      </c>
      <c r="V31" s="3">
        <v>-0.23659045994299999</v>
      </c>
      <c r="W31" s="3">
        <v>-0.20451958477500001</v>
      </c>
      <c r="X31" s="3">
        <v>0.56914150714900003</v>
      </c>
      <c r="Y31" s="3">
        <v>-0.48251745104799998</v>
      </c>
      <c r="Z31" s="3">
        <v>-0.546430587769</v>
      </c>
      <c r="AA31" s="3">
        <v>9.5021642744500007E-2</v>
      </c>
      <c r="AB31" s="3">
        <v>-0.74403381347700004</v>
      </c>
      <c r="AC31" s="3">
        <v>0.487353622913</v>
      </c>
    </row>
    <row r="32" spans="1:29" x14ac:dyDescent="0.25">
      <c r="B32" s="3">
        <v>7.8313991427400004E-2</v>
      </c>
      <c r="C32" s="3">
        <v>-0.20245909690899999</v>
      </c>
      <c r="D32" s="3">
        <v>-0.15681159496300001</v>
      </c>
      <c r="E32" s="3">
        <v>-0.465046644211</v>
      </c>
      <c r="F32" s="3">
        <v>9.8173454403900004E-2</v>
      </c>
      <c r="G32" s="3">
        <v>-0.17665089666799999</v>
      </c>
      <c r="H32" s="3">
        <v>-0.35922551155100002</v>
      </c>
      <c r="I32" s="3">
        <v>0.53035223484000005</v>
      </c>
      <c r="L32" s="3">
        <v>-0.12635114788999999</v>
      </c>
      <c r="M32" s="3">
        <v>0.109363146126</v>
      </c>
      <c r="N32" s="3">
        <v>-0.20938174426600001</v>
      </c>
      <c r="O32" s="3">
        <v>-0.19578182697300001</v>
      </c>
      <c r="P32" s="3">
        <v>-0.12686121463800001</v>
      </c>
      <c r="Q32" s="3">
        <v>-0.28841951489399997</v>
      </c>
      <c r="R32" s="3">
        <v>3.5920023918199998E-2</v>
      </c>
      <c r="S32" s="3">
        <v>-0.52438092231800004</v>
      </c>
      <c r="V32" s="3">
        <v>-0.43336474895499999</v>
      </c>
      <c r="W32" s="3">
        <v>-0.30571079254200001</v>
      </c>
      <c r="X32" s="3">
        <v>-3.6538045853400002E-2</v>
      </c>
      <c r="Y32" s="3">
        <v>-0.11865310370899999</v>
      </c>
      <c r="Z32" s="3">
        <v>-8.9553654193900004E-2</v>
      </c>
      <c r="AA32" s="3">
        <v>-0.117394655943</v>
      </c>
      <c r="AB32" s="3">
        <v>-0.177581697702</v>
      </c>
      <c r="AC32" s="3">
        <v>-9.6582882106300005E-2</v>
      </c>
    </row>
    <row r="33" spans="1:31" x14ac:dyDescent="0.25">
      <c r="B33" s="3">
        <v>-3.7300292402499997E-2</v>
      </c>
      <c r="C33" s="3">
        <v>0.32467207312599999</v>
      </c>
      <c r="D33" s="3">
        <v>-0.30744215846099998</v>
      </c>
      <c r="E33" s="3">
        <v>0.14030583202800001</v>
      </c>
      <c r="F33" s="3">
        <v>4.59862202406E-2</v>
      </c>
      <c r="G33" s="3">
        <v>0.14415864646400001</v>
      </c>
      <c r="H33" s="3">
        <v>0.16483059525499999</v>
      </c>
      <c r="I33" s="3">
        <v>-0.28709834814099999</v>
      </c>
      <c r="L33" s="3">
        <v>-0.33833536505700001</v>
      </c>
      <c r="M33" s="3">
        <v>3.2054691109800002E-3</v>
      </c>
      <c r="N33" s="3">
        <v>-0.313491046429</v>
      </c>
      <c r="O33" s="3">
        <v>-0.257711499929</v>
      </c>
      <c r="P33" s="3">
        <v>-0.40034365653999998</v>
      </c>
      <c r="Q33" s="3">
        <v>6.7115701735000005E-2</v>
      </c>
      <c r="R33" s="3">
        <v>-0.12251253426100001</v>
      </c>
      <c r="S33" s="3">
        <v>6.0035325586799998E-2</v>
      </c>
      <c r="V33" s="3">
        <v>0.249908193946</v>
      </c>
      <c r="W33" s="3">
        <v>0.23974125087299999</v>
      </c>
      <c r="X33" s="3">
        <v>-0.16147057712099999</v>
      </c>
      <c r="Y33" s="3">
        <v>0.38017982244499998</v>
      </c>
      <c r="Z33" s="3">
        <v>0.34545135498000001</v>
      </c>
      <c r="AA33" s="3">
        <v>-0.37695932388300002</v>
      </c>
      <c r="AB33" s="3">
        <v>-5.6922290474199999E-2</v>
      </c>
      <c r="AC33" s="3">
        <v>-0.12411838769899999</v>
      </c>
    </row>
    <row r="34" spans="1:31" x14ac:dyDescent="0.25">
      <c r="B34" s="3">
        <v>-0.25185433030100002</v>
      </c>
      <c r="C34" s="3">
        <v>3.5594847053300002E-2</v>
      </c>
      <c r="D34" s="3">
        <v>-0.36263087391900001</v>
      </c>
      <c r="E34" s="3">
        <v>-1.87916457653E-2</v>
      </c>
      <c r="F34" s="3">
        <v>1.03663513437E-2</v>
      </c>
      <c r="G34" s="3">
        <v>-0.37006938457499999</v>
      </c>
      <c r="H34" s="3">
        <v>-7.3076203465500006E-2</v>
      </c>
      <c r="I34" s="3">
        <v>-0.59597790241199999</v>
      </c>
      <c r="L34" s="3">
        <v>3.9953723549800001E-2</v>
      </c>
      <c r="M34" s="3">
        <v>-0.106242574751</v>
      </c>
      <c r="N34" s="3">
        <v>0.166772410274</v>
      </c>
      <c r="O34" s="3">
        <v>0.36481335759200001</v>
      </c>
      <c r="P34" s="3">
        <v>-0.26038962602600002</v>
      </c>
      <c r="Q34" s="3">
        <v>0.27377897500999998</v>
      </c>
      <c r="R34" s="3">
        <v>-0.41403192281700002</v>
      </c>
      <c r="S34" s="3">
        <v>0.10380794853</v>
      </c>
      <c r="V34" s="3">
        <v>2.88385637105E-2</v>
      </c>
      <c r="W34" s="3">
        <v>-0.224176168442</v>
      </c>
      <c r="X34" s="3">
        <v>-0.10660032182900001</v>
      </c>
      <c r="Y34" s="3">
        <v>-0.22762164473499999</v>
      </c>
      <c r="Z34" s="3">
        <v>-0.38779276609399999</v>
      </c>
      <c r="AA34" s="3">
        <v>0.12128220498599999</v>
      </c>
      <c r="AB34" s="3">
        <v>7.7775746583900005E-2</v>
      </c>
      <c r="AC34" s="3">
        <v>-0.107215240598</v>
      </c>
    </row>
    <row r="36" spans="1:31" ht="15.75" thickBot="1" x14ac:dyDescent="0.3">
      <c r="A36" t="s">
        <v>20</v>
      </c>
      <c r="B36" t="s">
        <v>21</v>
      </c>
      <c r="D36" t="s">
        <v>22</v>
      </c>
      <c r="F36" t="s">
        <v>23</v>
      </c>
      <c r="H36" t="s">
        <v>24</v>
      </c>
      <c r="K36" t="s">
        <v>25</v>
      </c>
      <c r="L36" t="s">
        <v>26</v>
      </c>
      <c r="N36" t="s">
        <v>27</v>
      </c>
      <c r="P36" t="s">
        <v>28</v>
      </c>
      <c r="R36" t="s">
        <v>29</v>
      </c>
      <c r="U36" t="s">
        <v>30</v>
      </c>
      <c r="V36" t="s">
        <v>31</v>
      </c>
      <c r="X36" t="s">
        <v>32</v>
      </c>
      <c r="Z36" t="s">
        <v>33</v>
      </c>
      <c r="AB36" t="s">
        <v>34</v>
      </c>
    </row>
    <row r="37" spans="1:31" ht="15.75" thickBot="1" x14ac:dyDescent="0.3">
      <c r="B37" s="9" cm="1">
        <f t="array" ref="B37:I40">MMULT(D18:K21,B27:I34)+B25:I25</f>
        <v>1.6651345569955176</v>
      </c>
      <c r="C37" s="10">
        <v>-0.25132993599862519</v>
      </c>
      <c r="D37" s="10">
        <v>-0.1103869035244659</v>
      </c>
      <c r="E37" s="10">
        <v>1.5308757410446381</v>
      </c>
      <c r="F37" s="10">
        <v>1.020494439791509</v>
      </c>
      <c r="G37" s="10">
        <v>-0.56291114657670938</v>
      </c>
      <c r="H37" s="10">
        <v>0.37850431485057373</v>
      </c>
      <c r="I37" s="11">
        <v>-0.61273221373829367</v>
      </c>
      <c r="L37" s="9" cm="1">
        <f t="array" ref="L37:S40">MMULT(D18:K21,L27:S34)+L25:S25</f>
        <v>-6.9072969696620523E-3</v>
      </c>
      <c r="M37" s="10">
        <v>0.60124970030043778</v>
      </c>
      <c r="N37" s="10">
        <v>1.3033874249846236</v>
      </c>
      <c r="O37" s="10">
        <v>1.5287171085515812</v>
      </c>
      <c r="P37" s="10">
        <v>-0.47726116072397562</v>
      </c>
      <c r="Q37" s="10">
        <v>-0.53711982421036497</v>
      </c>
      <c r="R37" s="10">
        <v>0.62321342311321104</v>
      </c>
      <c r="S37" s="11">
        <v>0.40495596027010472</v>
      </c>
      <c r="V37" s="9" cm="1">
        <f t="array" ref="V37:AC40">MMULT(D18:K21,V27:AC34)+V25:AC25</f>
        <v>1.6825300558680152</v>
      </c>
      <c r="W37" s="10">
        <v>2.3953592121636507</v>
      </c>
      <c r="X37" s="10">
        <v>-0.93785966644232499</v>
      </c>
      <c r="Y37" s="10">
        <v>1.0200758194347377</v>
      </c>
      <c r="Z37" s="10">
        <v>2.6636156843470107</v>
      </c>
      <c r="AA37" s="10">
        <v>0.91804438443679559</v>
      </c>
      <c r="AB37" s="10">
        <v>-0.36691057660090798</v>
      </c>
      <c r="AC37" s="11">
        <v>1.3890250945122895</v>
      </c>
    </row>
    <row r="38" spans="1:31" ht="15.75" thickBot="1" x14ac:dyDescent="0.3">
      <c r="B38" s="20">
        <v>0.51019099700740422</v>
      </c>
      <c r="C38" s="21">
        <v>-0.1998963736519897</v>
      </c>
      <c r="D38" s="21">
        <v>0.24221660676767676</v>
      </c>
      <c r="E38" s="21">
        <v>-1.5529357344029029</v>
      </c>
      <c r="F38" s="21">
        <v>-0.42936641562908001</v>
      </c>
      <c r="G38" s="21">
        <v>-0.26915916145363505</v>
      </c>
      <c r="H38" s="21">
        <v>-1.7277720706059498</v>
      </c>
      <c r="I38" s="22">
        <v>2.2053959015235858</v>
      </c>
      <c r="L38" s="20">
        <v>3.165433112601157E-2</v>
      </c>
      <c r="M38" s="21">
        <v>0.34866312998042476</v>
      </c>
      <c r="N38" s="21">
        <v>-0.66306866266215381</v>
      </c>
      <c r="O38" s="21">
        <v>-1.1756872371691813</v>
      </c>
      <c r="P38" s="21">
        <v>0.98165544307843944</v>
      </c>
      <c r="Q38" s="21">
        <v>-0.66573886051367248</v>
      </c>
      <c r="R38" s="21">
        <v>1.9980977519149299</v>
      </c>
      <c r="S38" s="22">
        <v>-0.11477807383903188</v>
      </c>
      <c r="V38" s="20">
        <v>-1.8533183010155421</v>
      </c>
      <c r="W38" s="21">
        <v>0.2234242120640742</v>
      </c>
      <c r="X38" s="21">
        <v>-1.1430936512622405</v>
      </c>
      <c r="Y38" s="21">
        <v>0.5887969035557733</v>
      </c>
      <c r="Z38" s="21">
        <v>-0.17421063899550701</v>
      </c>
      <c r="AA38" s="21">
        <v>-0.14390024178896166</v>
      </c>
      <c r="AB38" s="21">
        <v>0.36951574122270625</v>
      </c>
      <c r="AC38" s="22">
        <v>-0.20605486209219553</v>
      </c>
    </row>
    <row r="39" spans="1:31" ht="15.75" thickBot="1" x14ac:dyDescent="0.3">
      <c r="B39" s="23">
        <v>0.59300629300458574</v>
      </c>
      <c r="C39" s="24">
        <v>0.21610794561326219</v>
      </c>
      <c r="D39" s="24">
        <v>-0.63836035514752487</v>
      </c>
      <c r="E39" s="24">
        <v>0.62957460884743222</v>
      </c>
      <c r="F39" s="24">
        <v>0.13416804145046651</v>
      </c>
      <c r="G39" s="24">
        <v>-0.86998725690621281</v>
      </c>
      <c r="H39" s="24">
        <v>-0.52595342264994138</v>
      </c>
      <c r="I39" s="25">
        <v>-0.93021655971885486</v>
      </c>
      <c r="L39" s="23">
        <v>-0.18252052563476617</v>
      </c>
      <c r="M39" s="24">
        <v>0.17071400135002784</v>
      </c>
      <c r="N39" s="24">
        <v>0.67746759414472824</v>
      </c>
      <c r="O39" s="24">
        <v>0.68144897959326278</v>
      </c>
      <c r="P39" s="24">
        <v>0.45194182675279204</v>
      </c>
      <c r="Q39" s="24">
        <v>0.4635369312575997</v>
      </c>
      <c r="R39" s="24">
        <v>1.5321031240125764</v>
      </c>
      <c r="S39" s="25">
        <v>1.7483425769457897</v>
      </c>
      <c r="V39" s="23">
        <v>0.52730376957005687</v>
      </c>
      <c r="W39" s="24">
        <v>1.8963695805601941</v>
      </c>
      <c r="X39" s="24">
        <v>-1.8909569008727809</v>
      </c>
      <c r="Y39" s="24">
        <v>1.329809502864721</v>
      </c>
      <c r="Z39" s="24">
        <v>1.5232690975202958</v>
      </c>
      <c r="AA39" s="24">
        <v>0.42137481557874751</v>
      </c>
      <c r="AB39" s="24">
        <v>0.52826963129948401</v>
      </c>
      <c r="AC39" s="25">
        <v>0.22070939063421444</v>
      </c>
    </row>
    <row r="40" spans="1:31" ht="15.75" thickBot="1" x14ac:dyDescent="0.3">
      <c r="B40" s="26">
        <v>0.24189961454675415</v>
      </c>
      <c r="C40" s="27">
        <v>-0.12487797932440649</v>
      </c>
      <c r="D40" s="27">
        <v>0.87635800131821573</v>
      </c>
      <c r="E40" s="27">
        <v>-1.7316410275813112</v>
      </c>
      <c r="F40" s="27">
        <v>-0.31515131628059795</v>
      </c>
      <c r="G40" s="27">
        <v>0.76045428151263061</v>
      </c>
      <c r="H40" s="27">
        <v>-0.82897544523340483</v>
      </c>
      <c r="I40" s="28">
        <v>2.9651069141198523</v>
      </c>
      <c r="L40" s="26">
        <v>0.23414625568263125</v>
      </c>
      <c r="M40" s="27">
        <v>0.41917778927543664</v>
      </c>
      <c r="N40" s="27">
        <v>-0.46869417457228008</v>
      </c>
      <c r="O40" s="27">
        <v>-0.87347785038883929</v>
      </c>
      <c r="P40" s="27">
        <v>0.65291676199134008</v>
      </c>
      <c r="Q40" s="27">
        <v>-0.53020674620943375</v>
      </c>
      <c r="R40" s="27">
        <v>0.13318499363782643</v>
      </c>
      <c r="S40" s="28">
        <v>-1.1361658653459805</v>
      </c>
      <c r="V40" s="26">
        <v>-1.6541939357236153</v>
      </c>
      <c r="W40" s="27">
        <v>-0.74243499293082182</v>
      </c>
      <c r="X40" s="27">
        <v>0.45844664903923948</v>
      </c>
      <c r="Y40" s="27">
        <v>-0.4205297364155749</v>
      </c>
      <c r="Z40" s="27">
        <v>-0.71723766009708678</v>
      </c>
      <c r="AA40" s="27">
        <v>8.9503258932204094E-3</v>
      </c>
      <c r="AB40" s="27">
        <v>0.51773023506801708</v>
      </c>
      <c r="AC40" s="28">
        <v>-0.46972752722259548</v>
      </c>
    </row>
    <row r="41" spans="1:31" ht="15.75" thickBot="1" x14ac:dyDescent="0.3">
      <c r="B41" s="3"/>
      <c r="C41" s="3"/>
      <c r="D41" s="3"/>
      <c r="E41" s="3"/>
      <c r="F41" s="3"/>
      <c r="G41" s="3"/>
      <c r="H41" s="3"/>
      <c r="I41" s="3"/>
      <c r="L41" s="3"/>
      <c r="M41" s="3"/>
      <c r="N41" s="3"/>
      <c r="O41" s="3"/>
      <c r="P41" s="3"/>
      <c r="Q41" s="3"/>
      <c r="R41" s="3"/>
      <c r="S41" s="3"/>
      <c r="V41" s="3"/>
      <c r="W41" s="3"/>
      <c r="X41" s="3"/>
      <c r="Y41" s="3"/>
      <c r="Z41" s="3"/>
      <c r="AA41" s="3"/>
      <c r="AB41" s="3"/>
      <c r="AC41" s="3"/>
      <c r="AE41" t="s">
        <v>60</v>
      </c>
    </row>
    <row r="42" spans="1:31" ht="15.75" thickBot="1" x14ac:dyDescent="0.3">
      <c r="A42" t="s">
        <v>35</v>
      </c>
      <c r="B42" s="9">
        <f>B37*COS($AE42)-C37*SIN($AE42)</f>
        <v>1.6651345569955176</v>
      </c>
      <c r="C42" s="10">
        <f>B37*SIN($AE42)+C37*COS($AE42)</f>
        <v>-0.25132993599862519</v>
      </c>
      <c r="D42" s="10">
        <f>D37*COS($AE42)-E37*SIN($AE42)</f>
        <v>-0.1103869035244659</v>
      </c>
      <c r="E42" s="10">
        <f>D37*SIN($AE42)+E37*COS($AE42)</f>
        <v>1.5308757410446381</v>
      </c>
      <c r="F42" s="10">
        <f>F37*COS($AE42)-G37*SIN($AE42)</f>
        <v>1.020494439791509</v>
      </c>
      <c r="G42" s="10">
        <f>F37*SIN($AE42)+G37*COS($AE42)</f>
        <v>-0.56291114657670938</v>
      </c>
      <c r="H42" s="10">
        <f>H37*COS($AE42)-I37*SIN($AE42)</f>
        <v>0.37850431485057373</v>
      </c>
      <c r="I42" s="11">
        <f>H37*SIN($AE42)+I37*COS($AE42)</f>
        <v>-0.61273221373829367</v>
      </c>
      <c r="K42" t="s">
        <v>61</v>
      </c>
      <c r="L42" s="9">
        <f>L37*COS($AE42)-M37*SIN($AE42)</f>
        <v>-6.9072969696620523E-3</v>
      </c>
      <c r="M42" s="10">
        <f>L37*SIN($AE42)+M37*COS($AE42)</f>
        <v>0.60124970030043778</v>
      </c>
      <c r="N42" s="10">
        <f>N37*COS($AE42)-O37*SIN($AE42)</f>
        <v>1.3033874249846236</v>
      </c>
      <c r="O42" s="10">
        <f>N37*SIN($AE42)+O37*COS($AE42)</f>
        <v>1.5287171085515812</v>
      </c>
      <c r="P42" s="10">
        <f>P37*COS($AE42)-Q37*SIN($AE42)</f>
        <v>-0.47726116072397562</v>
      </c>
      <c r="Q42" s="10">
        <f>P37*SIN($AE42)+Q37*COS($AE42)</f>
        <v>-0.53711982421036497</v>
      </c>
      <c r="R42" s="10">
        <f>R37*COS($AE42)-S37*SIN($AE42)</f>
        <v>0.62321342311321104</v>
      </c>
      <c r="S42" s="11">
        <f>R37*SIN($AE42)+S37*COS($AE42)</f>
        <v>0.40495596027010472</v>
      </c>
      <c r="U42" t="s">
        <v>30</v>
      </c>
      <c r="V42" s="9">
        <f>V37</f>
        <v>1.6825300558680152</v>
      </c>
      <c r="W42" s="10">
        <f t="shared" ref="V42:AC45" si="0">W37</f>
        <v>2.3953592121636507</v>
      </c>
      <c r="X42" s="10">
        <f t="shared" si="0"/>
        <v>-0.93785966644232499</v>
      </c>
      <c r="Y42" s="10">
        <f t="shared" si="0"/>
        <v>1.0200758194347377</v>
      </c>
      <c r="Z42" s="10">
        <f t="shared" si="0"/>
        <v>2.6636156843470107</v>
      </c>
      <c r="AA42" s="10">
        <f t="shared" si="0"/>
        <v>0.91804438443679559</v>
      </c>
      <c r="AB42" s="10">
        <f t="shared" si="0"/>
        <v>-0.36691057660090798</v>
      </c>
      <c r="AC42" s="11">
        <f t="shared" si="0"/>
        <v>1.3890250945122895</v>
      </c>
      <c r="AE42" s="64">
        <v>0</v>
      </c>
    </row>
    <row r="43" spans="1:31" ht="15.75" thickBot="1" x14ac:dyDescent="0.3">
      <c r="B43" s="20">
        <f>B38*COS($AE43)-C38*SIN($AE43)</f>
        <v>0.4438643705127327</v>
      </c>
      <c r="C43" s="21">
        <f>B38*SIN($AE43)+C38*COS($AE43)</f>
        <v>0.32130644907309369</v>
      </c>
      <c r="D43" s="21">
        <f>D38*COS($AE43)-E38*SIN($AE43)</f>
        <v>1.437620552927517</v>
      </c>
      <c r="E43" s="21">
        <f>D38*SIN($AE43)+E38*COS($AE43)</f>
        <v>-0.6352365115292975</v>
      </c>
      <c r="F43" s="21">
        <f>F38*COS($AE43)-G38*SIN($AE43)</f>
        <v>-5.4980397682721227E-3</v>
      </c>
      <c r="G43" s="21">
        <f>F38*SIN($AE43)+G38*COS($AE43)</f>
        <v>-0.50672669618177246</v>
      </c>
      <c r="H43" s="21">
        <f>H38*COS($AE43)-I38*SIN($AE43)</f>
        <v>-2.7892958949093156</v>
      </c>
      <c r="I43" s="22">
        <f>H38*SIN($AE43)+I38*COS($AE43)</f>
        <v>-0.26228957483102877</v>
      </c>
      <c r="L43" s="20">
        <f>L38*COS($AE43)-M38*SIN($AE43)</f>
        <v>-0.27628699925273398</v>
      </c>
      <c r="M43" s="21">
        <f>L38*SIN($AE43)+M38*COS($AE43)</f>
        <v>0.21501969428566664</v>
      </c>
      <c r="N43" s="21">
        <f>N38*COS($AE43)-O38*SIN($AE43)</f>
        <v>0.63104916990156057</v>
      </c>
      <c r="O43" s="21">
        <f>N38*SIN($AE43)+O38*COS($AE43)</f>
        <v>-1.1931795657878288</v>
      </c>
      <c r="P43" s="21">
        <f>P38*COS($AE43)-Q38*SIN($AE43)</f>
        <v>1.0905906340446179</v>
      </c>
      <c r="Q43" s="21">
        <f>P38*SIN($AE43)+Q38*COS($AE43)</f>
        <v>0.46633433098768129</v>
      </c>
      <c r="R43" s="21">
        <f>R38*COS($AE43)-S38*SIN($AE43)</f>
        <v>1.1761592415372666</v>
      </c>
      <c r="S43" s="22">
        <f>R38*SIN($AE43)+S38*COS($AE43)</f>
        <v>1.6193264250879675</v>
      </c>
      <c r="U43" t="s">
        <v>70</v>
      </c>
      <c r="V43" s="20">
        <f>V38</f>
        <v>-1.8533183010155421</v>
      </c>
      <c r="W43" s="21">
        <f t="shared" si="0"/>
        <v>0.2234242120640742</v>
      </c>
      <c r="X43" s="21">
        <f t="shared" si="0"/>
        <v>-1.1430936512622405</v>
      </c>
      <c r="Y43" s="21">
        <f t="shared" si="0"/>
        <v>0.5887969035557733</v>
      </c>
      <c r="Z43" s="21">
        <f t="shared" si="0"/>
        <v>-0.17421063899550701</v>
      </c>
      <c r="AA43" s="21">
        <f t="shared" si="0"/>
        <v>-0.14390024178896166</v>
      </c>
      <c r="AB43" s="21">
        <f t="shared" si="0"/>
        <v>0.36951574122270625</v>
      </c>
      <c r="AC43" s="22">
        <f t="shared" si="0"/>
        <v>-0.20605486209219553</v>
      </c>
      <c r="AE43" s="65">
        <v>1</v>
      </c>
    </row>
    <row r="44" spans="1:31" ht="15.75" thickBot="1" x14ac:dyDescent="0.3">
      <c r="B44" s="23">
        <f>B39*COS($AE44)-C39*SIN($AE44)</f>
        <v>-0.44328409174912986</v>
      </c>
      <c r="C44" s="24">
        <f>B39*SIN($AE44)+C39*COS($AE44)</f>
        <v>0.44928645840084508</v>
      </c>
      <c r="D44" s="24">
        <f>D39*COS($AE44)-E39*SIN($AE44)</f>
        <v>-0.30681892944800232</v>
      </c>
      <c r="E44" s="24">
        <f>D39*SIN($AE44)+E39*COS($AE44)</f>
        <v>-0.84245491016543617</v>
      </c>
      <c r="F44" s="24">
        <f>F39*COS($AE44)-G39*SIN($AE44)</f>
        <v>0.73524356806061508</v>
      </c>
      <c r="G44" s="24">
        <f>F39*SIN($AE44)+G39*COS($AE44)</f>
        <v>0.48404109965099712</v>
      </c>
      <c r="H44" s="24">
        <f>H39*COS($AE44)-I39*SIN($AE44)</f>
        <v>1.0647173771499081</v>
      </c>
      <c r="I44" s="25">
        <f>H39*SIN($AE44)+I39*COS($AE44)</f>
        <v>-9.1141415214984478E-2</v>
      </c>
      <c r="L44" s="23">
        <f>L39*COS($AE44)-M39*SIN($AE44)</f>
        <v>-7.9274462802866708E-2</v>
      </c>
      <c r="M44" s="24">
        <f>L39*SIN($AE44)+M39*COS($AE44)</f>
        <v>-0.23700753591868245</v>
      </c>
      <c r="N44" s="24">
        <f>N39*COS($AE44)-O39*SIN($AE44)</f>
        <v>-0.90156579982367235</v>
      </c>
      <c r="O44" s="24">
        <f>N39*SIN($AE44)+O39*COS($AE44)</f>
        <v>0.33243670298757211</v>
      </c>
      <c r="P44" s="24">
        <f>P39*COS($AE44)-Q39*SIN($AE44)</f>
        <v>-0.60956710033771944</v>
      </c>
      <c r="Q44" s="24">
        <f>P39*SIN($AE44)+Q39*COS($AE44)</f>
        <v>0.21805011257559148</v>
      </c>
      <c r="R44" s="24">
        <f>R39*COS($AE44)-S39*SIN($AE44)</f>
        <v>-2.2273432747484159</v>
      </c>
      <c r="S44" s="25">
        <f>R39*SIN($AE44)+S39*COS($AE44)</f>
        <v>0.66557019569955489</v>
      </c>
      <c r="V44" s="23">
        <f t="shared" si="0"/>
        <v>0.52730376957005687</v>
      </c>
      <c r="W44" s="24">
        <f t="shared" si="0"/>
        <v>1.8963695805601941</v>
      </c>
      <c r="X44" s="24">
        <f t="shared" si="0"/>
        <v>-1.8909569008727809</v>
      </c>
      <c r="Y44" s="24">
        <f t="shared" si="0"/>
        <v>1.329809502864721</v>
      </c>
      <c r="Z44" s="24">
        <f t="shared" si="0"/>
        <v>1.5232690975202958</v>
      </c>
      <c r="AA44" s="24">
        <f t="shared" si="0"/>
        <v>0.42137481557874751</v>
      </c>
      <c r="AB44" s="24">
        <f t="shared" si="0"/>
        <v>0.52826963129948401</v>
      </c>
      <c r="AC44" s="25">
        <f t="shared" si="0"/>
        <v>0.22070939063421444</v>
      </c>
      <c r="AE44" s="66">
        <v>2</v>
      </c>
    </row>
    <row r="45" spans="1:31" ht="15.75" thickBot="1" x14ac:dyDescent="0.3">
      <c r="B45" s="26">
        <f>B40*COS($AE45)-C40*SIN($AE45)</f>
        <v>-0.22185602188306638</v>
      </c>
      <c r="C45" s="27">
        <f>B40*SIN($AE45)+C40*COS($AE45)</f>
        <v>0.15776513807630471</v>
      </c>
      <c r="D45" s="27">
        <f>D40*COS($AE45)-E40*SIN($AE45)</f>
        <v>-0.62321864987172548</v>
      </c>
      <c r="E45" s="27">
        <f>D40*SIN($AE45)+E40*COS($AE45)</f>
        <v>1.8379832723203386</v>
      </c>
      <c r="F45" s="27">
        <f>F40*COS($AE45)-G40*SIN($AE45)</f>
        <v>0.2046821240753228</v>
      </c>
      <c r="G45" s="27">
        <f>F40*SIN($AE45)+G40*COS($AE45)</f>
        <v>-0.79731818899878282</v>
      </c>
      <c r="H45" s="27">
        <f>H40*COS($AE45)-I40*SIN($AE45)</f>
        <v>0.4022435590281227</v>
      </c>
      <c r="I45" s="28">
        <f>H40*SIN($AE45)+I40*COS($AE45)</f>
        <v>-3.0524186181095248</v>
      </c>
      <c r="L45" s="26">
        <f>L40*COS($AE45)-M40*SIN($AE45)</f>
        <v>-0.29095740923396129</v>
      </c>
      <c r="M45" s="27">
        <f>L40*SIN($AE45)+M40*COS($AE45)</f>
        <v>-0.38194014463512432</v>
      </c>
      <c r="N45" s="27">
        <f>N40*COS($AE45)-O40*SIN($AE45)</f>
        <v>0.58726891731388509</v>
      </c>
      <c r="O45" s="27">
        <f>N40*SIN($AE45)+O40*COS($AE45)</f>
        <v>0.79859439213838446</v>
      </c>
      <c r="P45" s="27">
        <f>P40*COS($AE45)-Q40*SIN($AE45)</f>
        <v>-0.57155991497761438</v>
      </c>
      <c r="Q45" s="27">
        <f>P40*SIN($AE45)+Q40*COS($AE45)</f>
        <v>0.61704031910891632</v>
      </c>
      <c r="R45" s="27">
        <f>R40*COS($AE45)-S40*SIN($AE45)</f>
        <v>2.8483591713744566E-2</v>
      </c>
      <c r="S45" s="28">
        <f>R40*SIN($AE45)+S40*COS($AE45)</f>
        <v>1.1435907489616961</v>
      </c>
      <c r="V45" s="26">
        <f t="shared" si="0"/>
        <v>-1.6541939357236153</v>
      </c>
      <c r="W45" s="27">
        <f t="shared" si="0"/>
        <v>-0.74243499293082182</v>
      </c>
      <c r="X45" s="27">
        <f t="shared" si="0"/>
        <v>0.45844664903923948</v>
      </c>
      <c r="Y45" s="27">
        <f t="shared" si="0"/>
        <v>-0.4205297364155749</v>
      </c>
      <c r="Z45" s="27">
        <f t="shared" si="0"/>
        <v>-0.71723766009708678</v>
      </c>
      <c r="AA45" s="27">
        <f t="shared" si="0"/>
        <v>8.9503258932204094E-3</v>
      </c>
      <c r="AB45" s="27">
        <f t="shared" si="0"/>
        <v>0.51773023506801708</v>
      </c>
      <c r="AC45" s="28">
        <f t="shared" si="0"/>
        <v>-0.46972752722259548</v>
      </c>
      <c r="AE45" s="67">
        <v>3</v>
      </c>
    </row>
    <row r="46" spans="1:31" ht="15.75" thickBot="1" x14ac:dyDescent="0.3">
      <c r="B46" s="3"/>
      <c r="C46" s="3"/>
      <c r="D46" s="3"/>
      <c r="E46" s="3"/>
      <c r="F46" s="3"/>
      <c r="G46" s="3"/>
      <c r="H46" s="3"/>
      <c r="I46" s="3"/>
      <c r="L46" s="3"/>
      <c r="M46" s="3"/>
      <c r="N46" s="3"/>
      <c r="O46" s="3"/>
      <c r="P46" s="3"/>
      <c r="Q46" s="3"/>
      <c r="R46" s="3"/>
      <c r="S46" s="3"/>
      <c r="V46" s="3"/>
      <c r="W46" s="3"/>
      <c r="X46" s="3"/>
      <c r="Y46" s="3"/>
      <c r="Z46" s="3"/>
      <c r="AA46" s="3"/>
      <c r="AB46" s="3"/>
      <c r="AC46" s="3"/>
    </row>
    <row r="47" spans="1:31" x14ac:dyDescent="0.25">
      <c r="B47" s="3"/>
      <c r="C47" s="3"/>
      <c r="D47" s="3"/>
      <c r="E47" s="3"/>
      <c r="F47" s="3"/>
      <c r="G47" s="3"/>
      <c r="H47" s="3"/>
      <c r="I47" s="3"/>
      <c r="K47" t="s">
        <v>61</v>
      </c>
      <c r="L47" s="12" cm="1">
        <f t="array" ref="L47:O54">TRANSPOSE(L42:S45)</f>
        <v>-6.9072969696620523E-3</v>
      </c>
      <c r="M47" s="29">
        <v>-0.27628699925273398</v>
      </c>
      <c r="N47" s="32">
        <v>-7.9274462802866708E-2</v>
      </c>
      <c r="O47" s="35">
        <v>-0.29095740923396129</v>
      </c>
      <c r="P47" s="3"/>
      <c r="Q47" s="3"/>
      <c r="R47" s="3"/>
      <c r="S47" s="3"/>
      <c r="V47" s="3"/>
      <c r="W47" s="3"/>
      <c r="X47" s="3"/>
      <c r="Y47" s="3"/>
      <c r="Z47" s="3"/>
      <c r="AA47" s="3"/>
      <c r="AB47" s="3"/>
      <c r="AC47" s="3"/>
    </row>
    <row r="48" spans="1:31" x14ac:dyDescent="0.25">
      <c r="B48" s="3"/>
      <c r="C48" s="3"/>
      <c r="D48" s="3"/>
      <c r="E48" s="3"/>
      <c r="F48" s="3"/>
      <c r="G48" s="3"/>
      <c r="H48" s="3"/>
      <c r="I48" s="3"/>
      <c r="K48" t="s">
        <v>69</v>
      </c>
      <c r="L48" s="13">
        <v>0.60124970030043778</v>
      </c>
      <c r="M48" s="30">
        <v>0.21501969428566664</v>
      </c>
      <c r="N48" s="33">
        <v>-0.23700753591868245</v>
      </c>
      <c r="O48" s="36">
        <v>-0.38194014463512432</v>
      </c>
      <c r="P48" s="3"/>
      <c r="Q48" s="3"/>
      <c r="R48" s="3"/>
      <c r="S48" s="3"/>
      <c r="V48" s="3"/>
      <c r="W48" s="3"/>
      <c r="X48" s="3"/>
      <c r="Y48" s="3"/>
      <c r="Z48" s="3"/>
      <c r="AA48" s="3"/>
      <c r="AB48" s="3"/>
      <c r="AC48" s="3"/>
    </row>
    <row r="49" spans="1:29" x14ac:dyDescent="0.25">
      <c r="B49" s="3"/>
      <c r="C49" s="3"/>
      <c r="D49" s="3"/>
      <c r="E49" s="3"/>
      <c r="F49" s="3"/>
      <c r="G49" s="3"/>
      <c r="H49" s="3"/>
      <c r="I49" s="3"/>
      <c r="L49" s="13">
        <v>1.3033874249846236</v>
      </c>
      <c r="M49" s="30">
        <v>0.63104916990156057</v>
      </c>
      <c r="N49" s="33">
        <v>-0.90156579982367235</v>
      </c>
      <c r="O49" s="36">
        <v>0.58726891731388509</v>
      </c>
      <c r="P49" s="3"/>
      <c r="Q49" s="3"/>
      <c r="R49" s="3"/>
      <c r="S49" s="3"/>
      <c r="V49" s="3"/>
      <c r="W49" s="3"/>
      <c r="X49" s="3"/>
      <c r="Y49" s="3"/>
      <c r="Z49" s="3"/>
      <c r="AA49" s="3"/>
      <c r="AB49" s="3"/>
      <c r="AC49" s="3"/>
    </row>
    <row r="50" spans="1:29" x14ac:dyDescent="0.25">
      <c r="B50" s="3"/>
      <c r="C50" s="3"/>
      <c r="D50" s="3"/>
      <c r="E50" s="3"/>
      <c r="F50" s="3"/>
      <c r="G50" s="3"/>
      <c r="H50" s="3"/>
      <c r="I50" s="3"/>
      <c r="L50" s="13">
        <v>1.5287171085515812</v>
      </c>
      <c r="M50" s="30">
        <v>-1.1931795657878288</v>
      </c>
      <c r="N50" s="33">
        <v>0.33243670298757211</v>
      </c>
      <c r="O50" s="36">
        <v>0.79859439213838446</v>
      </c>
      <c r="P50" s="3"/>
      <c r="Q50" s="3"/>
      <c r="R50" s="3"/>
      <c r="S50" s="3"/>
      <c r="V50" s="3"/>
      <c r="W50" s="3"/>
      <c r="X50" s="3"/>
      <c r="Y50" s="3"/>
      <c r="Z50" s="3"/>
      <c r="AA50" s="3"/>
      <c r="AB50" s="3"/>
      <c r="AC50" s="3"/>
    </row>
    <row r="51" spans="1:29" x14ac:dyDescent="0.25">
      <c r="L51" s="14">
        <v>-0.47726116072397562</v>
      </c>
      <c r="M51" s="30">
        <v>1.0905906340446179</v>
      </c>
      <c r="N51" s="33">
        <v>-0.60956710033771944</v>
      </c>
      <c r="O51" s="36">
        <v>-0.57155991497761438</v>
      </c>
    </row>
    <row r="52" spans="1:29" x14ac:dyDescent="0.25">
      <c r="L52" s="14">
        <v>-0.53711982421036497</v>
      </c>
      <c r="M52" s="30">
        <v>0.46633433098768129</v>
      </c>
      <c r="N52" s="33">
        <v>0.21805011257559148</v>
      </c>
      <c r="O52" s="36">
        <v>0.61704031910891632</v>
      </c>
    </row>
    <row r="53" spans="1:29" x14ac:dyDescent="0.25">
      <c r="L53" s="14">
        <v>0.62321342311321104</v>
      </c>
      <c r="M53" s="30">
        <v>1.1761592415372666</v>
      </c>
      <c r="N53" s="33">
        <v>-2.2273432747484159</v>
      </c>
      <c r="O53" s="36">
        <v>2.8483591713744566E-2</v>
      </c>
    </row>
    <row r="54" spans="1:29" ht="15.75" thickBot="1" x14ac:dyDescent="0.3">
      <c r="L54" s="15">
        <v>0.40495596027010472</v>
      </c>
      <c r="M54" s="31">
        <v>1.6193264250879675</v>
      </c>
      <c r="N54" s="34">
        <v>0.66557019569955489</v>
      </c>
      <c r="O54" s="37">
        <v>1.1435907489616961</v>
      </c>
    </row>
    <row r="56" spans="1:29" x14ac:dyDescent="0.25">
      <c r="A56" t="s">
        <v>71</v>
      </c>
      <c r="B56" s="45">
        <f t="shared" ref="B56:I56" si="1">B42-B37</f>
        <v>0</v>
      </c>
      <c r="C56" s="46">
        <f t="shared" si="1"/>
        <v>0</v>
      </c>
      <c r="D56" s="46">
        <f t="shared" si="1"/>
        <v>0</v>
      </c>
      <c r="E56" s="46">
        <f t="shared" si="1"/>
        <v>0</v>
      </c>
      <c r="F56" s="46">
        <f t="shared" si="1"/>
        <v>0</v>
      </c>
      <c r="G56" s="46">
        <f t="shared" si="1"/>
        <v>0</v>
      </c>
      <c r="H56" s="46">
        <f t="shared" si="1"/>
        <v>0</v>
      </c>
      <c r="I56" s="47">
        <f t="shared" si="1"/>
        <v>0</v>
      </c>
      <c r="L56" s="45">
        <f t="shared" ref="L56:S56" si="2">L42-L37</f>
        <v>0</v>
      </c>
      <c r="M56" s="46">
        <f t="shared" si="2"/>
        <v>0</v>
      </c>
      <c r="N56" s="46">
        <f t="shared" si="2"/>
        <v>0</v>
      </c>
      <c r="O56" s="46">
        <f t="shared" si="2"/>
        <v>0</v>
      </c>
      <c r="P56" s="46">
        <f t="shared" si="2"/>
        <v>0</v>
      </c>
      <c r="Q56" s="46">
        <f t="shared" si="2"/>
        <v>0</v>
      </c>
      <c r="R56" s="46">
        <f t="shared" si="2"/>
        <v>0</v>
      </c>
      <c r="S56" s="47">
        <f t="shared" si="2"/>
        <v>0</v>
      </c>
      <c r="V56" s="45">
        <f>V42-V37</f>
        <v>0</v>
      </c>
      <c r="W56" s="46">
        <f t="shared" ref="W56:AC56" si="3">W42-W37</f>
        <v>0</v>
      </c>
      <c r="X56" s="46">
        <f t="shared" si="3"/>
        <v>0</v>
      </c>
      <c r="Y56" s="46">
        <f t="shared" si="3"/>
        <v>0</v>
      </c>
      <c r="Z56" s="46">
        <f t="shared" si="3"/>
        <v>0</v>
      </c>
      <c r="AA56" s="46">
        <f t="shared" si="3"/>
        <v>0</v>
      </c>
      <c r="AB56" s="46">
        <f t="shared" si="3"/>
        <v>0</v>
      </c>
      <c r="AC56" s="47">
        <f t="shared" si="3"/>
        <v>0</v>
      </c>
    </row>
    <row r="57" spans="1:29" x14ac:dyDescent="0.25">
      <c r="A57" t="s">
        <v>72</v>
      </c>
      <c r="B57" s="48">
        <f t="shared" ref="B57:C57" si="4">B43-B38</f>
        <v>-6.6326626494671526E-2</v>
      </c>
      <c r="C57" s="68">
        <f t="shared" si="4"/>
        <v>0.52120282272508334</v>
      </c>
      <c r="D57" s="68">
        <f t="shared" ref="D57:I57" si="5">D43-D38</f>
        <v>1.1954039461598402</v>
      </c>
      <c r="E57" s="68">
        <f t="shared" si="5"/>
        <v>0.91769922287360539</v>
      </c>
      <c r="F57" s="68">
        <f t="shared" si="5"/>
        <v>0.42386837586080789</v>
      </c>
      <c r="G57" s="68">
        <f t="shared" si="5"/>
        <v>-0.23756753472813741</v>
      </c>
      <c r="H57" s="68">
        <f t="shared" si="5"/>
        <v>-1.0615238243033658</v>
      </c>
      <c r="I57" s="49">
        <f t="shared" si="5"/>
        <v>-2.4676854763546148</v>
      </c>
      <c r="L57" s="48">
        <f t="shared" ref="L57:S57" si="6">L43-L38</f>
        <v>-0.30794133037874555</v>
      </c>
      <c r="M57" s="68">
        <f t="shared" si="6"/>
        <v>-0.13364343569475812</v>
      </c>
      <c r="N57" s="68">
        <f t="shared" si="6"/>
        <v>1.2941178325637144</v>
      </c>
      <c r="O57" s="68">
        <f t="shared" si="6"/>
        <v>-1.7492328618647468E-2</v>
      </c>
      <c r="P57" s="68">
        <f t="shared" si="6"/>
        <v>0.10893519096617843</v>
      </c>
      <c r="Q57" s="68">
        <f t="shared" si="6"/>
        <v>1.1320731915013538</v>
      </c>
      <c r="R57" s="68">
        <f t="shared" si="6"/>
        <v>-0.8219385103776633</v>
      </c>
      <c r="S57" s="49">
        <f t="shared" si="6"/>
        <v>1.7341044989269994</v>
      </c>
      <c r="V57" s="48">
        <f>V43-V38</f>
        <v>0</v>
      </c>
      <c r="W57" s="68">
        <f t="shared" ref="W57:AC57" si="7">W43-W38</f>
        <v>0</v>
      </c>
      <c r="X57" s="68">
        <f t="shared" si="7"/>
        <v>0</v>
      </c>
      <c r="Y57" s="68">
        <f t="shared" si="7"/>
        <v>0</v>
      </c>
      <c r="Z57" s="68">
        <f t="shared" si="7"/>
        <v>0</v>
      </c>
      <c r="AA57" s="68">
        <f t="shared" si="7"/>
        <v>0</v>
      </c>
      <c r="AB57" s="68">
        <f t="shared" si="7"/>
        <v>0</v>
      </c>
      <c r="AC57" s="49">
        <f t="shared" si="7"/>
        <v>0</v>
      </c>
    </row>
    <row r="58" spans="1:29" x14ac:dyDescent="0.25">
      <c r="B58" s="48">
        <f t="shared" ref="B58:I59" si="8">B44-B39</f>
        <v>-1.0362903847537157</v>
      </c>
      <c r="C58" s="68">
        <f t="shared" si="8"/>
        <v>0.23317851278758289</v>
      </c>
      <c r="D58" s="68">
        <f t="shared" si="8"/>
        <v>0.33154142569952255</v>
      </c>
      <c r="E58" s="68">
        <f t="shared" si="8"/>
        <v>-1.4720295190128683</v>
      </c>
      <c r="F58" s="68">
        <f t="shared" si="8"/>
        <v>0.60107552661014862</v>
      </c>
      <c r="G58" s="68">
        <f t="shared" si="8"/>
        <v>1.35402835655721</v>
      </c>
      <c r="H58" s="68">
        <f t="shared" si="8"/>
        <v>1.5906707997998495</v>
      </c>
      <c r="I58" s="49">
        <f t="shared" si="8"/>
        <v>0.83907514450387044</v>
      </c>
      <c r="L58" s="48">
        <f t="shared" ref="L58:S58" si="9">L44-L39</f>
        <v>0.10324606283189947</v>
      </c>
      <c r="M58" s="68">
        <f t="shared" si="9"/>
        <v>-0.4077215372687103</v>
      </c>
      <c r="N58" s="68">
        <f t="shared" si="9"/>
        <v>-1.5790333939684005</v>
      </c>
      <c r="O58" s="68">
        <f t="shared" si="9"/>
        <v>-0.34901227660569067</v>
      </c>
      <c r="P58" s="68">
        <f t="shared" si="9"/>
        <v>-1.0615089270905114</v>
      </c>
      <c r="Q58" s="68">
        <f t="shared" si="9"/>
        <v>-0.24548681868200822</v>
      </c>
      <c r="R58" s="68">
        <f t="shared" si="9"/>
        <v>-3.7594463987609923</v>
      </c>
      <c r="S58" s="49">
        <f t="shared" si="9"/>
        <v>-1.0827723812462349</v>
      </c>
      <c r="V58" s="48">
        <f t="shared" ref="V58:AC58" si="10">V44-V39</f>
        <v>0</v>
      </c>
      <c r="W58" s="68">
        <f t="shared" si="10"/>
        <v>0</v>
      </c>
      <c r="X58" s="68">
        <f t="shared" si="10"/>
        <v>0</v>
      </c>
      <c r="Y58" s="68">
        <f t="shared" si="10"/>
        <v>0</v>
      </c>
      <c r="Z58" s="68">
        <f t="shared" si="10"/>
        <v>0</v>
      </c>
      <c r="AA58" s="68">
        <f t="shared" si="10"/>
        <v>0</v>
      </c>
      <c r="AB58" s="68">
        <f t="shared" si="10"/>
        <v>0</v>
      </c>
      <c r="AC58" s="49">
        <f t="shared" si="10"/>
        <v>0</v>
      </c>
    </row>
    <row r="59" spans="1:29" x14ac:dyDescent="0.25">
      <c r="B59" s="50">
        <f t="shared" si="8"/>
        <v>-0.46375563642982054</v>
      </c>
      <c r="C59" s="51">
        <f t="shared" si="8"/>
        <v>0.28264311740071119</v>
      </c>
      <c r="D59" s="51">
        <f t="shared" si="8"/>
        <v>-1.4995766511899413</v>
      </c>
      <c r="E59" s="51">
        <f t="shared" si="8"/>
        <v>3.5696242999016499</v>
      </c>
      <c r="F59" s="51">
        <f t="shared" si="8"/>
        <v>0.51983344035592072</v>
      </c>
      <c r="G59" s="51">
        <f t="shared" si="8"/>
        <v>-1.5577724705114133</v>
      </c>
      <c r="H59" s="51">
        <f t="shared" si="8"/>
        <v>1.2312190042615274</v>
      </c>
      <c r="I59" s="52">
        <f t="shared" si="8"/>
        <v>-6.017525532229377</v>
      </c>
      <c r="L59" s="50">
        <f t="shared" ref="L59:S59" si="11">L45-L40</f>
        <v>-0.52510366491659255</v>
      </c>
      <c r="M59" s="51">
        <f t="shared" si="11"/>
        <v>-0.80111793391056096</v>
      </c>
      <c r="N59" s="51">
        <f t="shared" si="11"/>
        <v>1.0559630918861651</v>
      </c>
      <c r="O59" s="51">
        <f t="shared" si="11"/>
        <v>1.6720722425272236</v>
      </c>
      <c r="P59" s="51">
        <f t="shared" si="11"/>
        <v>-1.2244766769689543</v>
      </c>
      <c r="Q59" s="51">
        <f t="shared" si="11"/>
        <v>1.14724706531835</v>
      </c>
      <c r="R59" s="51">
        <f t="shared" si="11"/>
        <v>-0.10470140192408187</v>
      </c>
      <c r="S59" s="52">
        <f t="shared" si="11"/>
        <v>2.2797566143076766</v>
      </c>
      <c r="V59" s="50">
        <f t="shared" ref="V59:AC59" si="12">V45-V40</f>
        <v>0</v>
      </c>
      <c r="W59" s="51">
        <f t="shared" si="12"/>
        <v>0</v>
      </c>
      <c r="X59" s="51">
        <f t="shared" si="12"/>
        <v>0</v>
      </c>
      <c r="Y59" s="51">
        <f t="shared" si="12"/>
        <v>0</v>
      </c>
      <c r="Z59" s="51">
        <f t="shared" si="12"/>
        <v>0</v>
      </c>
      <c r="AA59" s="51">
        <f t="shared" si="12"/>
        <v>0</v>
      </c>
      <c r="AB59" s="51">
        <f t="shared" si="12"/>
        <v>0</v>
      </c>
      <c r="AC59" s="52">
        <f t="shared" si="12"/>
        <v>0</v>
      </c>
    </row>
    <row r="61" spans="1:29" x14ac:dyDescent="0.25">
      <c r="A61" t="s">
        <v>36</v>
      </c>
      <c r="C61" t="s">
        <v>37</v>
      </c>
      <c r="I61" t="s">
        <v>38</v>
      </c>
      <c r="O61" t="s">
        <v>39</v>
      </c>
      <c r="U61" t="s">
        <v>40</v>
      </c>
    </row>
    <row r="62" spans="1:29" x14ac:dyDescent="0.25">
      <c r="A62" t="s">
        <v>41</v>
      </c>
      <c r="B62" s="16" t="str">
        <f>A63</f>
        <v>one</v>
      </c>
      <c r="C62" s="17" t="str">
        <f>A64</f>
        <v>plus</v>
      </c>
      <c r="D62" s="18" t="str">
        <f>A65</f>
        <v>two</v>
      </c>
      <c r="E62" s="19" t="str">
        <f>A66</f>
        <v>equals</v>
      </c>
      <c r="H62" s="16" t="str">
        <f>G63</f>
        <v>one</v>
      </c>
      <c r="I62" s="17" t="str">
        <f>G64</f>
        <v>plus</v>
      </c>
      <c r="J62" s="18" t="str">
        <f>G65</f>
        <v>two</v>
      </c>
      <c r="K62" s="19" t="str">
        <f>G66</f>
        <v>equals</v>
      </c>
      <c r="N62" s="16" t="str">
        <f>M63</f>
        <v>one</v>
      </c>
      <c r="O62" s="17" t="str">
        <f>M64</f>
        <v>plus</v>
      </c>
      <c r="P62" s="18" t="str">
        <f>M65</f>
        <v>two</v>
      </c>
      <c r="Q62" s="19" t="str">
        <f>M66</f>
        <v>equals</v>
      </c>
      <c r="T62" s="16" t="str">
        <f>S63</f>
        <v>one</v>
      </c>
      <c r="U62" s="17" t="str">
        <f>S64</f>
        <v>plus</v>
      </c>
      <c r="V62" s="18" t="str">
        <f>S65</f>
        <v>two</v>
      </c>
      <c r="W62" s="19" t="str">
        <f>S66</f>
        <v>equals</v>
      </c>
    </row>
    <row r="63" spans="1:29" x14ac:dyDescent="0.25">
      <c r="A63" s="16" t="str">
        <f>$C$18</f>
        <v>one</v>
      </c>
      <c r="B63" s="16" cm="1">
        <f t="array" ref="B63:E66">MMULT(B42:C45,L47:O48)</f>
        <v>-0.16261362757531631</v>
      </c>
      <c r="C63" s="39">
        <v>-0.51409591610758265</v>
      </c>
      <c r="D63" s="40">
        <v>-7.2435558666674782E-2</v>
      </c>
      <c r="E63" s="41">
        <v>-0.38849024462290421</v>
      </c>
      <c r="G63" s="16" t="str">
        <f>$C$18</f>
        <v>one</v>
      </c>
      <c r="H63" s="16" cm="1">
        <f t="array" ref="H63:K66">MMULT(D42:E45,L49:O50)</f>
        <v>2.1963990344647386</v>
      </c>
      <c r="I63" s="39">
        <v>-1.8962692158118797</v>
      </c>
      <c r="J63" s="40">
        <v>0.60844034100262934</v>
      </c>
      <c r="K63" s="41">
        <v>1.1577219845404962</v>
      </c>
      <c r="M63" s="16" t="str">
        <f>$C$18</f>
        <v>one</v>
      </c>
      <c r="N63" s="16" cm="1">
        <f t="array" ref="N63:Q66">MMULT(F42:G45,L51:O52)</f>
        <v>-0.18469162475192169</v>
      </c>
      <c r="O63" s="39">
        <v>0.85043688518687055</v>
      </c>
      <c r="P63" s="40">
        <v>-0.74480267545558221</v>
      </c>
      <c r="Q63" s="41">
        <v>-0.93061258875602193</v>
      </c>
      <c r="S63" s="16" t="str">
        <f>$C$18</f>
        <v>one</v>
      </c>
      <c r="T63" s="16" cm="1">
        <f t="array" ref="T63:W66">MMULT(H42:I45,L53:O54)</f>
        <v>-1.2240592281671125E-2</v>
      </c>
      <c r="U63" s="39">
        <v>-0.5470321173358339</v>
      </c>
      <c r="V63" s="40">
        <v>-1.2508753395548999</v>
      </c>
      <c r="W63" s="41">
        <v>-0.68993372885583892</v>
      </c>
    </row>
    <row r="64" spans="1:29" x14ac:dyDescent="0.25">
      <c r="A64" s="17" t="str">
        <f>$C$19</f>
        <v>plus</v>
      </c>
      <c r="B64" s="39">
        <v>0.19011950318841192</v>
      </c>
      <c r="C64" s="17">
        <v>-5.3546740552456895E-2</v>
      </c>
      <c r="D64" s="42">
        <v>-0.11133915929932504</v>
      </c>
      <c r="E64" s="43">
        <v>-0.25186545892682344</v>
      </c>
      <c r="G64" s="17" t="str">
        <f>$C$19</f>
        <v>plus</v>
      </c>
      <c r="H64" s="39">
        <v>0.90267962743370633</v>
      </c>
      <c r="I64" s="17">
        <v>1.6651604815574346</v>
      </c>
      <c r="J64" s="42">
        <v>-1.5072854551531734</v>
      </c>
      <c r="K64" s="43">
        <v>0.33697354983708461</v>
      </c>
      <c r="M64" s="17" t="str">
        <f>$C$19</f>
        <v>plus</v>
      </c>
      <c r="N64" s="39">
        <v>0.27479695481736477</v>
      </c>
      <c r="O64" s="17">
        <v>-0.24230016553440731</v>
      </c>
      <c r="P64" s="42">
        <v>-0.10714038898840592</v>
      </c>
      <c r="Q64" s="43">
        <v>-0.30952834317051059</v>
      </c>
      <c r="S64" s="17" t="str">
        <f>$C$19</f>
        <v>plus</v>
      </c>
      <c r="T64" s="39">
        <v>-1.8445423693865988</v>
      </c>
      <c r="U64" s="17">
        <v>-3.7053885837285248</v>
      </c>
      <c r="V64" s="42">
        <v>6.0381473291593872</v>
      </c>
      <c r="W64" s="43">
        <v>-0.37940109676528172</v>
      </c>
    </row>
    <row r="65" spans="1:26" x14ac:dyDescent="0.25">
      <c r="A65" s="18" t="str">
        <f>$C$20</f>
        <v>two</v>
      </c>
      <c r="B65" s="40">
        <v>0.27319524332619138</v>
      </c>
      <c r="C65" s="42">
        <v>0.21907906845788028</v>
      </c>
      <c r="D65" s="18">
        <v>-7.134316818474698E-2</v>
      </c>
      <c r="E65" s="44">
        <v>-4.2623744014265108E-2</v>
      </c>
      <c r="G65" s="18" t="str">
        <f>$C$20</f>
        <v>two</v>
      </c>
      <c r="H65" s="40">
        <v>-1.6877791687429582</v>
      </c>
      <c r="I65" s="42">
        <v>0.81158215316877202</v>
      </c>
      <c r="J65" s="18">
        <v>-3.4454792222577413E-3</v>
      </c>
      <c r="K65" s="44">
        <v>-0.85296498739589743</v>
      </c>
      <c r="M65" s="18" t="str">
        <f>$C$20</f>
        <v>two</v>
      </c>
      <c r="N65" s="40">
        <v>-0.61089126906258184</v>
      </c>
      <c r="O65" s="42">
        <v>1.0275747314447425</v>
      </c>
      <c r="P65" s="18">
        <v>-0.3426350735545548</v>
      </c>
      <c r="Q65" s="44">
        <v>-0.12156287665808096</v>
      </c>
      <c r="S65" s="18" t="str">
        <f>$C$20</f>
        <v>two</v>
      </c>
      <c r="T65" s="40">
        <v>0.62663790194295355</v>
      </c>
      <c r="U65" s="42">
        <v>1.1046894806826448</v>
      </c>
      <c r="V65" s="18">
        <v>-2.4321520990635923</v>
      </c>
      <c r="W65" s="44">
        <v>-7.3901504225866055E-2</v>
      </c>
    </row>
    <row r="66" spans="1:26" x14ac:dyDescent="0.25">
      <c r="A66" s="19" t="str">
        <f>$C$21</f>
        <v>equals</v>
      </c>
      <c r="B66" s="41">
        <v>9.6388667413889573E-2</v>
      </c>
      <c r="C66" s="43">
        <v>9.5218546310324309E-2</v>
      </c>
      <c r="D66" s="44">
        <v>-1.980400967497456E-2</v>
      </c>
      <c r="E66" s="19">
        <v>4.2938136948058384E-3</v>
      </c>
      <c r="G66" s="19" t="str">
        <f>$C$21</f>
        <v>equals</v>
      </c>
      <c r="H66" s="41">
        <v>1.9974611223690197</v>
      </c>
      <c r="I66" s="43">
        <v>-2.5863256944611979</v>
      </c>
      <c r="J66" s="44">
        <v>1.1728857197331137</v>
      </c>
      <c r="K66" s="19">
        <v>1.10180619235919</v>
      </c>
      <c r="M66" s="19" t="str">
        <f>$C$21</f>
        <v>equals</v>
      </c>
      <c r="N66" s="41">
        <v>0.33056857739911544</v>
      </c>
      <c r="O66" s="43">
        <v>-0.14859243677815157</v>
      </c>
      <c r="P66" s="44">
        <v>-0.29862280973331112</v>
      </c>
      <c r="Q66" s="19">
        <v>-0.60896556720508122</v>
      </c>
      <c r="S66" s="19" t="str">
        <f>$C$21</f>
        <v>equals</v>
      </c>
      <c r="T66" s="41">
        <v>-0.98541152729573145</v>
      </c>
      <c r="U66" s="43">
        <v>-4.469759649435483</v>
      </c>
      <c r="V66" s="44">
        <v>-2.9275333430242778</v>
      </c>
      <c r="W66" s="19">
        <v>-3.4792603523236565</v>
      </c>
    </row>
    <row r="67" spans="1:26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6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6" x14ac:dyDescent="0.25">
      <c r="A69" t="s">
        <v>42</v>
      </c>
      <c r="B69" s="3">
        <f t="shared" ref="B69:E72" si="13">B63/SQRT(2)</f>
        <v>-0.11498519877184991</v>
      </c>
      <c r="C69" s="3">
        <f t="shared" si="13"/>
        <v>-0.36352070845998213</v>
      </c>
      <c r="D69" s="3">
        <f t="shared" si="13"/>
        <v>-5.1219674732241725E-2</v>
      </c>
      <c r="E69" s="3">
        <f t="shared" si="13"/>
        <v>-0.27470408639767624</v>
      </c>
      <c r="F69" s="3"/>
      <c r="G69" s="3">
        <f t="shared" ref="G69:J72" si="14">H63/SQRT(2)</f>
        <v>1.553088651461602</v>
      </c>
      <c r="H69" s="3">
        <f t="shared" si="14"/>
        <v>-1.3408648214558767</v>
      </c>
      <c r="I69" s="3">
        <f t="shared" si="14"/>
        <v>0.43023229107041455</v>
      </c>
      <c r="J69" s="3">
        <f t="shared" si="14"/>
        <v>0.81863306599733221</v>
      </c>
      <c r="K69" s="3"/>
      <c r="L69" s="3">
        <f t="shared" ref="L69:O72" si="15">N63/SQRT(2)</f>
        <v>-0.13059670029044504</v>
      </c>
      <c r="M69" s="3">
        <f t="shared" si="15"/>
        <v>0.60134968848680148</v>
      </c>
      <c r="N69" s="3">
        <f t="shared" si="15"/>
        <v>-0.52665502246052553</v>
      </c>
      <c r="O69" s="3">
        <f t="shared" si="15"/>
        <v>-0.65804247216695089</v>
      </c>
      <c r="P69" s="3"/>
      <c r="Q69" s="3">
        <f t="shared" ref="Q69:T72" si="16">T63/SQRT(2)</f>
        <v>-8.6554058081093656E-3</v>
      </c>
      <c r="R69" s="3">
        <f t="shared" si="16"/>
        <v>-0.38681011969500328</v>
      </c>
      <c r="S69" s="3">
        <f t="shared" si="16"/>
        <v>-0.88450243501829495</v>
      </c>
      <c r="T69" s="3">
        <f t="shared" si="16"/>
        <v>-0.48785681824328447</v>
      </c>
    </row>
    <row r="70" spans="1:26" x14ac:dyDescent="0.25">
      <c r="B70" s="3">
        <f t="shared" si="13"/>
        <v>0.1344347899403435</v>
      </c>
      <c r="C70" s="3">
        <f t="shared" si="13"/>
        <v>-3.7863263355078967E-2</v>
      </c>
      <c r="D70" s="3">
        <f t="shared" si="13"/>
        <v>-7.8728674552161981E-2</v>
      </c>
      <c r="E70" s="3">
        <f t="shared" si="13"/>
        <v>-0.1780957739538187</v>
      </c>
      <c r="F70" s="3"/>
      <c r="G70" s="3">
        <f t="shared" si="14"/>
        <v>0.63829088579731996</v>
      </c>
      <c r="H70" s="3">
        <f t="shared" si="14"/>
        <v>1.1774462682731188</v>
      </c>
      <c r="I70" s="3">
        <f t="shared" si="14"/>
        <v>-1.0658117665226605</v>
      </c>
      <c r="J70" s="3">
        <f t="shared" si="14"/>
        <v>0.23827628217030553</v>
      </c>
      <c r="K70" s="3"/>
      <c r="L70" s="3">
        <f t="shared" si="15"/>
        <v>0.19431079020077191</v>
      </c>
      <c r="M70" s="3">
        <f t="shared" si="15"/>
        <v>-0.17133209013200237</v>
      </c>
      <c r="N70" s="3">
        <f t="shared" si="15"/>
        <v>-7.5759695592666321E-2</v>
      </c>
      <c r="O70" s="3">
        <f t="shared" si="15"/>
        <v>-0.21886959042530482</v>
      </c>
      <c r="P70" s="3"/>
      <c r="Q70" s="3">
        <f t="shared" si="16"/>
        <v>-1.3042884175791656</v>
      </c>
      <c r="R70" s="3">
        <f t="shared" si="16"/>
        <v>-2.6201053944856572</v>
      </c>
      <c r="S70" s="3">
        <f t="shared" si="16"/>
        <v>4.2696149222520425</v>
      </c>
      <c r="T70" s="3">
        <f t="shared" si="16"/>
        <v>-0.2682770883123442</v>
      </c>
    </row>
    <row r="71" spans="1:26" x14ac:dyDescent="0.25">
      <c r="B71" s="3">
        <f t="shared" si="13"/>
        <v>0.1931782091438588</v>
      </c>
      <c r="C71" s="3">
        <f t="shared" si="13"/>
        <v>0.154912294922599</v>
      </c>
      <c r="D71" s="3">
        <f t="shared" si="13"/>
        <v>-5.0447238014766936E-2</v>
      </c>
      <c r="E71" s="3">
        <f t="shared" si="13"/>
        <v>-3.0139538432046371E-2</v>
      </c>
      <c r="F71" s="3"/>
      <c r="G71" s="3">
        <f t="shared" si="14"/>
        <v>-1.19344009536354</v>
      </c>
      <c r="H71" s="3">
        <f t="shared" si="14"/>
        <v>0.57387524399561796</v>
      </c>
      <c r="I71" s="3">
        <f t="shared" si="14"/>
        <v>-2.4363217224958006E-3</v>
      </c>
      <c r="J71" s="3">
        <f t="shared" si="14"/>
        <v>-0.60313732670233711</v>
      </c>
      <c r="K71" s="3"/>
      <c r="L71" s="3">
        <f t="shared" si="15"/>
        <v>-0.43196535892180737</v>
      </c>
      <c r="M71" s="3">
        <f t="shared" si="15"/>
        <v>0.72660506078052289</v>
      </c>
      <c r="N71" s="3">
        <f t="shared" si="15"/>
        <v>-0.24227958398277719</v>
      </c>
      <c r="O71" s="3">
        <f t="shared" si="15"/>
        <v>-8.5957934425472921E-2</v>
      </c>
      <c r="P71" s="3"/>
      <c r="Q71" s="3">
        <f t="shared" si="16"/>
        <v>0.44309990981237324</v>
      </c>
      <c r="R71" s="3">
        <f t="shared" si="16"/>
        <v>0.78113342289614374</v>
      </c>
      <c r="S71" s="3">
        <f t="shared" si="16"/>
        <v>-1.7197912421249617</v>
      </c>
      <c r="T71" s="3">
        <f t="shared" si="16"/>
        <v>-5.2256254777996183E-2</v>
      </c>
    </row>
    <row r="72" spans="1:26" x14ac:dyDescent="0.25">
      <c r="B72" s="3">
        <f t="shared" si="13"/>
        <v>6.815708035789611E-2</v>
      </c>
      <c r="C72" s="3">
        <f t="shared" si="13"/>
        <v>6.7329679790755631E-2</v>
      </c>
      <c r="D72" s="3">
        <f t="shared" si="13"/>
        <v>-1.4003549535858506E-2</v>
      </c>
      <c r="E72" s="3">
        <f t="shared" si="13"/>
        <v>3.036184780748873E-3</v>
      </c>
      <c r="F72" s="3"/>
      <c r="G72" s="3">
        <f t="shared" si="14"/>
        <v>1.4124183047836261</v>
      </c>
      <c r="H72" s="3">
        <f t="shared" si="14"/>
        <v>-1.8288084369105198</v>
      </c>
      <c r="I72" s="3">
        <f t="shared" si="14"/>
        <v>0.8293554459801491</v>
      </c>
      <c r="J72" s="3">
        <f t="shared" si="14"/>
        <v>0.77909463017051284</v>
      </c>
      <c r="K72" s="3"/>
      <c r="L72" s="3">
        <f t="shared" si="15"/>
        <v>0.23374728272610459</v>
      </c>
      <c r="M72" s="3">
        <f t="shared" si="15"/>
        <v>-0.1050707196788643</v>
      </c>
      <c r="N72" s="3">
        <f t="shared" si="15"/>
        <v>-0.21115821377940444</v>
      </c>
      <c r="O72" s="3">
        <f t="shared" si="15"/>
        <v>-0.43060368207982513</v>
      </c>
      <c r="P72" s="3"/>
      <c r="Q72" s="3">
        <f t="shared" si="16"/>
        <v>-0.69679117321020434</v>
      </c>
      <c r="R72" s="3">
        <f t="shared" si="16"/>
        <v>-3.1605973583898352</v>
      </c>
      <c r="S72" s="3">
        <f t="shared" si="16"/>
        <v>-2.0700786790021897</v>
      </c>
      <c r="T72" s="3">
        <f t="shared" si="16"/>
        <v>-2.4602085886415539</v>
      </c>
    </row>
    <row r="74" spans="1:26" x14ac:dyDescent="0.25">
      <c r="A74" t="s">
        <v>43</v>
      </c>
      <c r="V74" t="s">
        <v>44</v>
      </c>
    </row>
    <row r="75" spans="1:26" x14ac:dyDescent="0.25">
      <c r="B75" s="2">
        <f>B69+$W$75</f>
        <v>-0.11498519877184991</v>
      </c>
      <c r="C75" s="2">
        <f>C69+$X$75</f>
        <v>-1000000000.3635207</v>
      </c>
      <c r="D75" s="2">
        <f>D69+$Y$75</f>
        <v>-1000000000.0512197</v>
      </c>
      <c r="E75" s="2">
        <f>E69+$Z$75</f>
        <v>-1000000000.2747041</v>
      </c>
      <c r="G75" s="2">
        <f>G69+$W$75</f>
        <v>1.553088651461602</v>
      </c>
      <c r="H75" s="2">
        <f>H69+$X$75</f>
        <v>-1000000001.3408648</v>
      </c>
      <c r="I75" s="2">
        <f>I69+$Y$75</f>
        <v>-999999999.56976771</v>
      </c>
      <c r="J75" s="2">
        <f>J69+$Z$75</f>
        <v>-999999999.18136692</v>
      </c>
      <c r="L75" s="2">
        <f>L69+$W$75</f>
        <v>-0.13059670029044504</v>
      </c>
      <c r="M75" s="2">
        <f>M69+$X$75</f>
        <v>-999999999.39865029</v>
      </c>
      <c r="N75" s="2">
        <f>N69+$Y$75</f>
        <v>-1000000000.5266551</v>
      </c>
      <c r="O75" s="2">
        <f>O69+$Z$75</f>
        <v>-1000000000.6580424</v>
      </c>
      <c r="Q75" s="2">
        <f>Q69+$W$75</f>
        <v>-8.6554058081093656E-3</v>
      </c>
      <c r="R75" s="2">
        <f>R69+$X$75</f>
        <v>-1000000000.3868101</v>
      </c>
      <c r="S75" s="2">
        <f>S69+$Y$75</f>
        <v>-1000000000.8845024</v>
      </c>
      <c r="T75" s="2">
        <f>T69+$Z$75</f>
        <v>-1000000000.4878569</v>
      </c>
      <c r="W75">
        <v>0</v>
      </c>
      <c r="X75" s="2">
        <v>-1000000000</v>
      </c>
      <c r="Y75" s="2">
        <v>-1000000000</v>
      </c>
      <c r="Z75" s="2">
        <v>-1000000000</v>
      </c>
    </row>
    <row r="76" spans="1:26" x14ac:dyDescent="0.25">
      <c r="B76" s="2">
        <f>B70+$W$76</f>
        <v>0.1344347899403435</v>
      </c>
      <c r="C76" s="2">
        <f>C70+$X$76</f>
        <v>-3.7863263355078967E-2</v>
      </c>
      <c r="D76" s="2">
        <f>D70+$Y$76</f>
        <v>-1000000000.0787287</v>
      </c>
      <c r="E76" s="2">
        <f>E70+$Z$76</f>
        <v>-1000000000.1780958</v>
      </c>
      <c r="G76" s="2">
        <f>G70+$W$76</f>
        <v>0.63829088579731996</v>
      </c>
      <c r="H76" s="2">
        <f>H70+$X$76</f>
        <v>1.1774462682731188</v>
      </c>
      <c r="I76" s="2">
        <f>I70+$Y$76</f>
        <v>-1000000001.0658118</v>
      </c>
      <c r="J76" s="2">
        <f>J70+$Z$76</f>
        <v>-999999999.76172376</v>
      </c>
      <c r="L76" s="2">
        <f>L70+$W$76</f>
        <v>0.19431079020077191</v>
      </c>
      <c r="M76" s="2">
        <f>M70+$X$76</f>
        <v>-0.17133209013200237</v>
      </c>
      <c r="N76" s="2">
        <f>N70+$Y$76</f>
        <v>-1000000000.0757596</v>
      </c>
      <c r="O76" s="2">
        <f>O70+$Z$76</f>
        <v>-1000000000.2188696</v>
      </c>
      <c r="Q76" s="2">
        <f>Q70+$W$76</f>
        <v>-1.3042884175791656</v>
      </c>
      <c r="R76" s="2">
        <f>R70+$X$76</f>
        <v>-2.6201053944856572</v>
      </c>
      <c r="S76" s="2">
        <f>S70+$Y$76</f>
        <v>-999999995.73038507</v>
      </c>
      <c r="T76" s="2">
        <f>T70+$Z$76</f>
        <v>-1000000000.268277</v>
      </c>
      <c r="W76">
        <v>0</v>
      </c>
      <c r="X76">
        <v>0</v>
      </c>
      <c r="Y76" s="2">
        <v>-1000000000</v>
      </c>
      <c r="Z76" s="2">
        <v>-1000000000</v>
      </c>
    </row>
    <row r="77" spans="1:26" x14ac:dyDescent="0.25">
      <c r="B77" s="2">
        <f>B71+$W$77</f>
        <v>0.1931782091438588</v>
      </c>
      <c r="C77" s="2">
        <f>C71+$X$77</f>
        <v>0.154912294922599</v>
      </c>
      <c r="D77" s="2">
        <f>D71+$Y$77</f>
        <v>-5.0447238014766936E-2</v>
      </c>
      <c r="E77" s="2">
        <f>E71+$Z$77</f>
        <v>-1000000000.0301396</v>
      </c>
      <c r="G77" s="2">
        <f>G71+$W$77</f>
        <v>-1.19344009536354</v>
      </c>
      <c r="H77" s="2">
        <f>H71+$X$77</f>
        <v>0.57387524399561796</v>
      </c>
      <c r="I77" s="2">
        <f>I71+$Y$77</f>
        <v>-2.4363217224958006E-3</v>
      </c>
      <c r="J77" s="2">
        <f>J71+$Z$77</f>
        <v>-1000000000.6031374</v>
      </c>
      <c r="L77" s="2">
        <f>L71+$W$77</f>
        <v>-0.43196535892180737</v>
      </c>
      <c r="M77" s="2">
        <f>M71+$X$77</f>
        <v>0.72660506078052289</v>
      </c>
      <c r="N77" s="2">
        <f>N71+$Y$77</f>
        <v>-0.24227958398277719</v>
      </c>
      <c r="O77" s="2">
        <f>O71+$Z$77</f>
        <v>-1000000000.0859579</v>
      </c>
      <c r="Q77" s="2">
        <f>Q71+$W$77</f>
        <v>0.44309990981237324</v>
      </c>
      <c r="R77" s="2">
        <f>R71+$X$77</f>
        <v>0.78113342289614374</v>
      </c>
      <c r="S77" s="2">
        <f>S71+$Y$77</f>
        <v>-1.7197912421249617</v>
      </c>
      <c r="T77" s="2">
        <f>T71+$Z$77</f>
        <v>-1000000000.0522562</v>
      </c>
      <c r="W77">
        <v>0</v>
      </c>
      <c r="X77">
        <v>0</v>
      </c>
      <c r="Y77">
        <v>0</v>
      </c>
      <c r="Z77" s="2">
        <v>-1000000000</v>
      </c>
    </row>
    <row r="78" spans="1:26" x14ac:dyDescent="0.25">
      <c r="B78" s="2">
        <f>B72+$W$78</f>
        <v>6.815708035789611E-2</v>
      </c>
      <c r="C78" s="2">
        <f>C72+$X$78</f>
        <v>6.7329679790755631E-2</v>
      </c>
      <c r="D78" s="2">
        <f>D72+$Y$78</f>
        <v>-1.4003549535858506E-2</v>
      </c>
      <c r="E78" s="2">
        <f>E72+$Z$78</f>
        <v>3.036184780748873E-3</v>
      </c>
      <c r="G78" s="2">
        <f>G72+$W$78</f>
        <v>1.4124183047836261</v>
      </c>
      <c r="H78" s="2">
        <f>H72+$X$78</f>
        <v>-1.8288084369105198</v>
      </c>
      <c r="I78" s="2">
        <f>I72+$Y$78</f>
        <v>0.8293554459801491</v>
      </c>
      <c r="J78" s="2">
        <f>J72+$Z$78</f>
        <v>0.77909463017051284</v>
      </c>
      <c r="L78" s="2">
        <f>L72+$W$78</f>
        <v>0.23374728272610459</v>
      </c>
      <c r="M78" s="2">
        <f>M72+$X$78</f>
        <v>-0.1050707196788643</v>
      </c>
      <c r="N78" s="2">
        <f>N72+$Y$78</f>
        <v>-0.21115821377940444</v>
      </c>
      <c r="O78" s="2">
        <f>O72+$Z$78</f>
        <v>-0.43060368207982513</v>
      </c>
      <c r="Q78" s="2">
        <f>Q72+$W$78</f>
        <v>-0.69679117321020434</v>
      </c>
      <c r="R78" s="2">
        <f>R72+$X$78</f>
        <v>-3.1605973583898352</v>
      </c>
      <c r="S78" s="2">
        <f>S72+$Y$78</f>
        <v>-2.0700786790021897</v>
      </c>
      <c r="T78" s="2">
        <f>T72+$Z$78</f>
        <v>-2.4602085886415539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45</v>
      </c>
    </row>
    <row r="80" spans="1:26" x14ac:dyDescent="0.25">
      <c r="B80" t="str">
        <f>C18</f>
        <v>one</v>
      </c>
      <c r="C80" t="str">
        <f>C19</f>
        <v>plus</v>
      </c>
      <c r="D80" t="str">
        <f>C20</f>
        <v>two</v>
      </c>
      <c r="E80" t="str">
        <f>C21</f>
        <v>equals</v>
      </c>
      <c r="H80" t="str" cm="1">
        <f t="array" ref="H80:K80">B80:E80</f>
        <v>one</v>
      </c>
      <c r="I80" t="str">
        <v>plus</v>
      </c>
      <c r="J80" t="str">
        <v>two</v>
      </c>
      <c r="K80" t="str">
        <v>equals</v>
      </c>
      <c r="N80" t="str" cm="1">
        <f t="array" ref="N80:Q80">_xlfn.ANCHORARRAY(H80)</f>
        <v>one</v>
      </c>
      <c r="O80" t="str">
        <v>plus</v>
      </c>
      <c r="P80" t="str">
        <v>two</v>
      </c>
      <c r="Q80" t="str">
        <v>equals</v>
      </c>
      <c r="T80" t="str" cm="1">
        <f t="array" ref="T80:W80">_xlfn.ANCHORARRAY(N80)</f>
        <v>one</v>
      </c>
      <c r="U80" t="str">
        <v>plus</v>
      </c>
      <c r="V80" t="str">
        <v>two</v>
      </c>
      <c r="W80" t="str">
        <v>equals</v>
      </c>
    </row>
    <row r="81" spans="1:23" x14ac:dyDescent="0.25">
      <c r="A81" t="str" cm="1">
        <f t="array" ref="A81:A84">C18:C21</f>
        <v>one</v>
      </c>
      <c r="B81" s="1">
        <f>EXP(B75-MAX($B75:$E75))/(EXP(B75-MAX($B75:$E75))+EXP(C75-MAX($B75:$E75))+EXP(D75-MAX($B75:$E75))+EXP(E75-MAX($B75:$E75)))</f>
        <v>1</v>
      </c>
      <c r="C81" s="4">
        <f>EXP(C75-MAX($B75:$E75))/(EXP(B75-MAX($B75:$E75))+EXP(C75-MAX($B75:$E75))+EXP(D75-MAX($B75:$E75))+EXP(E75-MAX($B75:$E75)))</f>
        <v>0</v>
      </c>
      <c r="D81" s="4">
        <f>EXP(D75-MAX($B75:$E75))/(EXP(B75-MAX($B75:$E75))+EXP(C75-MAX($B75:$E75))+EXP(D75-MAX($B75:$E75))+EXP(E75-MAX($B75:$E75)))</f>
        <v>0</v>
      </c>
      <c r="E81" s="4">
        <f>EXP(E75-MAX($B75:$E75))/(EXP(B75-MAX($B75:$E75))+EXP(C75-MAX($B75:$E75))+EXP(D75-MAX($B75:$E75))+EXP(E75-MAX($B75:$E75)))</f>
        <v>0</v>
      </c>
      <c r="G81" s="3" t="str" cm="1">
        <f t="array" ref="G81:G84">_xlfn.ANCHORARRAY(A81)</f>
        <v>one</v>
      </c>
      <c r="H81" s="1">
        <f>EXP(G75-MAX($G75:$J75))/(EXP(G75-MAX($G75:$J75))+EXP(H75-MAX($G75:$J75))+EXP(I75-MAX($G75:$J75))+EXP(J75-MAX($G75:$J75)))</f>
        <v>1</v>
      </c>
      <c r="I81" s="4">
        <f>EXP(H75-MAX($G75:$J75))/(EXP(G75-MAX($G75:$J75))+EXP(H75-MAX($G75:$J75))+EXP(I75-MAX($G75:$J75))+EXP(J75-MAX($G75:$J75)))</f>
        <v>0</v>
      </c>
      <c r="J81" s="4">
        <f>EXP(I75-MAX($G75:$J75))/(EXP(G75-MAX($G75:$J75))+EXP(H75-MAX($G75:$J75))+EXP(I75-MAX($G75:$J75))+EXP(J75-MAX($G75:$J75)))</f>
        <v>0</v>
      </c>
      <c r="K81" s="4">
        <f>EXP(J75-MAX($G75:$J75))/(EXP(G75-MAX($G75:$J75))+EXP(H75-MAX($G75:$J75))+EXP(I75-MAX($G75:$J75))+EXP(J75-MAX($G75:$J75)))</f>
        <v>0</v>
      </c>
      <c r="M81" s="3" t="str" cm="1">
        <f t="array" ref="M81:M84">_xlfn.ANCHORARRAY(G81)</f>
        <v>one</v>
      </c>
      <c r="N81" s="1">
        <f>EXP(L75-MAX($L75:$O75))/(EXP(L75-MAX($L75:$O75))+EXP(M75-MAX($L75:$O75))+EXP(N75-MAX($L75:$O75))+EXP(O75-MAX($L75:$O75)))</f>
        <v>1</v>
      </c>
      <c r="O81" s="4">
        <f>EXP(M75-MAX($L75:$O75))/(EXP(L75-MAX($L75:$O75))+EXP(M75-MAX($L75:$O75))+EXP(N75-MAX($L75:$O75))+EXP(O75-MAX($L75:$O75)))</f>
        <v>0</v>
      </c>
      <c r="P81" s="4">
        <f>EXP(N75-MAX($L75:$O75))/(EXP(L75-MAX($L75:$O75))+EXP(M75-MAX($L75:$O75))+EXP(N75-MAX($L75:$O75))+EXP(O75-MAX($L75:$O75)))</f>
        <v>0</v>
      </c>
      <c r="Q81" s="4">
        <f>EXP(O75-MAX($L75:$O75))/(EXP(L75-MAX($L75:$O75))+EXP(M75-MAX($L75:$O75))+EXP(N75-MAX($L75:$O75))+EXP(O75-MAX($L75:$O75)))</f>
        <v>0</v>
      </c>
      <c r="S81" s="3" t="str" cm="1">
        <f t="array" ref="S81:S84">_xlfn.ANCHORARRAY(M81)</f>
        <v>one</v>
      </c>
      <c r="T81" s="1">
        <f>EXP(Q75-MAX($Q75:$T75))/(EXP(Q75-MAX($Q75:$T75))+EXP(R75-MAX($Q75:$T75))+EXP(S75-MAX($Q75:$T75))+EXP(T75-MAX($Q75:$T75)))</f>
        <v>1</v>
      </c>
      <c r="U81" s="4">
        <f>EXP(R75-MAX($Q75:$T75))/(EXP(Q75-MAX($Q75:$T75))+EXP(R75-MAX($Q75:$T75))+EXP(S75-MAX($Q75:$T75))+EXP(T75-MAX($Q75:$T75)))</f>
        <v>0</v>
      </c>
      <c r="V81" s="4">
        <f>EXP(S75-MAX($Q75:$T75))/(EXP(Q75-MAX($Q75:$T75))+EXP(R75-MAX($Q75:$T75))+EXP(S75-MAX($Q75:$T75))+EXP(T75-MAX($Q75:$T75)))</f>
        <v>0</v>
      </c>
      <c r="W81" s="4">
        <f>EXP(T75-MAX($Q75:$T75))/(EXP(Q75-MAX($Q75:$T75))+EXP(R75-MAX($Q75:$T75))+EXP(S75-MAX($Q75:$T75))+EXP(T75-MAX($Q75:$T75)))</f>
        <v>0</v>
      </c>
    </row>
    <row r="82" spans="1:23" x14ac:dyDescent="0.25">
      <c r="A82" t="str">
        <v>plus</v>
      </c>
      <c r="B82" s="1">
        <f>EXP(B76-MAX($B76:$E76))/(EXP(B76-MAX($B76:$E76))+EXP(C76-MAX($B76:$E76))+EXP(D76-MAX($B76:$E76))+EXP(E76-MAX($B76:$E76)))</f>
        <v>0.54296826733173031</v>
      </c>
      <c r="C82" s="1">
        <f>EXP(C76-MAX($B76:$E76))/(EXP(B76-MAX($B76:$E76))+EXP(C76-MAX($B76:$E76))+EXP(D76-MAX($B76:$E76))+EXP(E76-MAX($B76:$E76)))</f>
        <v>0.45703173266826963</v>
      </c>
      <c r="D82" s="4">
        <f>EXP(D76-MAX($B76:$E76))/(EXP(B76-MAX($B76:$E76))+EXP(C76-MAX($B76:$E76))+EXP(D76-MAX($B76:$E76))+EXP(E76-MAX($B76:$E76)))</f>
        <v>0</v>
      </c>
      <c r="E82" s="4">
        <f>EXP(E76-MAX($B76:$E76))/(EXP(B76-MAX($B76:$E76))+EXP(C76-MAX($B76:$E76))+EXP(D76-MAX($B76:$E76))+EXP(E76-MAX($B76:$E76)))</f>
        <v>0</v>
      </c>
      <c r="G82" s="3" t="str">
        <v>plus</v>
      </c>
      <c r="H82" s="1">
        <f>EXP(G76-MAX($G76:$J76))/(EXP(G76-MAX($G76:$J76))+EXP(H76-MAX($G76:$J76))+EXP(I76-MAX($G76:$J76))+EXP(J76-MAX($G76:$J76)))</f>
        <v>0.36838408369143194</v>
      </c>
      <c r="I82" s="1">
        <f>EXP(H76-MAX($G76:$J76))/(EXP(G76-MAX($G76:$J76))+EXP(H76-MAX($G76:$J76))+EXP(I76-MAX($G76:$J76))+EXP(J76-MAX($G76:$J76)))</f>
        <v>0.63161591630856806</v>
      </c>
      <c r="J82" s="4">
        <f>EXP(I76-MAX($G76:$J76))/(EXP(G76-MAX($G76:$J76))+EXP(H76-MAX($G76:$J76))+EXP(I76-MAX($G76:$J76))+EXP(J76-MAX($G76:$J76)))</f>
        <v>0</v>
      </c>
      <c r="K82" s="4">
        <f>EXP(J76-MAX($G76:$J76))/(EXP(G76-MAX($G76:$J76))+EXP(H76-MAX($G76:$J76))+EXP(I76-MAX($G76:$J76))+EXP(J76-MAX($G76:$J76)))</f>
        <v>0</v>
      </c>
      <c r="M82" s="3" t="str">
        <v>plus</v>
      </c>
      <c r="N82" s="1">
        <f>EXP(L76-MAX($L76:$O76))/(EXP(L76-MAX($L76:$O76))+EXP(M76-MAX($L76:$O76))+EXP(N76-MAX($L76:$O76))+EXP(O76-MAX($L76:$O76)))</f>
        <v>0.59040572665763669</v>
      </c>
      <c r="O82" s="1">
        <f>EXP(M76-MAX($L76:$O76))/(EXP(L76-MAX($L76:$O76))+EXP(M76-MAX($L76:$O76))+EXP(N76-MAX($L76:$O76))+EXP(O76-MAX($L76:$O76)))</f>
        <v>0.40959427334236331</v>
      </c>
      <c r="P82" s="4">
        <f>EXP(N76-MAX($L76:$O76))/(EXP(L76-MAX($L76:$O76))+EXP(M76-MAX($L76:$O76))+EXP(N76-MAX($L76:$O76))+EXP(O76-MAX($L76:$O76)))</f>
        <v>0</v>
      </c>
      <c r="Q82" s="4">
        <f>EXP(O76-MAX($L76:$O76))/(EXP(L76-MAX($L76:$O76))+EXP(M76-MAX($L76:$O76))+EXP(N76-MAX($L76:$O76))+EXP(O76-MAX($L76:$O76)))</f>
        <v>0</v>
      </c>
      <c r="S82" s="3" t="str">
        <v>plus</v>
      </c>
      <c r="T82" s="1">
        <f>EXP(Q76-MAX($Q76:$T76))/(EXP(Q76-MAX($Q76:$T76))+EXP(R76-MAX($Q76:$T76))+EXP(S76-MAX($Q76:$T76))+EXP(T76-MAX($Q76:$T76)))</f>
        <v>0.78848491863043435</v>
      </c>
      <c r="U82" s="1">
        <f>EXP(R76-MAX($Q76:$T76))/(EXP(Q76-MAX($Q76:$T76))+EXP(R76-MAX($Q76:$T76))+EXP(S76-MAX($Q76:$T76))+EXP(T76-MAX($Q76:$T76)))</f>
        <v>0.21151508136956554</v>
      </c>
      <c r="V82" s="4">
        <f>EXP(S76-MAX($Q76:$T76))/(EXP(Q76-MAX($Q76:$T76))+EXP(R76-MAX($Q76:$T76))+EXP(S76-MAX($Q76:$T76))+EXP(T76-MAX($Q76:$T76)))</f>
        <v>0</v>
      </c>
      <c r="W82" s="4">
        <f>EXP(T76-MAX($Q76:$T76))/(EXP(Q76-MAX($Q76:$T76))+EXP(R76-MAX($Q76:$T76))+EXP(S76-MAX($Q76:$T76))+EXP(T76-MAX($Q76:$T76)))</f>
        <v>0</v>
      </c>
    </row>
    <row r="83" spans="1:23" x14ac:dyDescent="0.25">
      <c r="A83" t="str">
        <v>two</v>
      </c>
      <c r="B83" s="1">
        <f>EXP(B77-MAX($B77:$E77))/(EXP(B77-MAX($B77:$E77))+EXP(C77-MAX($B77:$E77))+EXP(D77-MAX($B77:$E77))+EXP(E77-MAX($B77:$E77)))</f>
        <v>0.36413448337450555</v>
      </c>
      <c r="C83" s="1">
        <f>EXP(C77-MAX($B77:$E77))/(EXP(B77-MAX($B77:$E77))+EXP(C77-MAX($B77:$E77))+EXP(D77-MAX($B77:$E77))+EXP(E77-MAX($B77:$E77)))</f>
        <v>0.35046377367610049</v>
      </c>
      <c r="D83" s="1">
        <f>EXP(D77-MAX($B77:$E77))/(EXP(B77-MAX($B77:$E77))+EXP(C77-MAX($B77:$E77))+EXP(D77-MAX($B77:$E77))+EXP(E77-MAX($B77:$E77)))</f>
        <v>0.28540174294939391</v>
      </c>
      <c r="E83" s="4">
        <f>EXP(E77-MAX($B77:$E77))/(EXP(B77-MAX($B77:$E77))+EXP(C77-MAX($B77:$E77))+EXP(D77-MAX($B77:$E77))+EXP(E77-MAX($B77:$E77)))</f>
        <v>0</v>
      </c>
      <c r="G83" s="3" t="str">
        <v>two</v>
      </c>
      <c r="H83" s="1">
        <f>EXP(G77-MAX($G77:$J77))/(EXP(G77-MAX($G77:$J77))+EXP(H77-MAX($G77:$J77))+EXP(I77-MAX($G77:$J77))+EXP(J77-MAX($G77:$J77)))</f>
        <v>9.8565909390378403E-2</v>
      </c>
      <c r="I83" s="1">
        <f>EXP(H77-MAX($G77:$J77))/(EXP(G77-MAX($G77:$J77))+EXP(H77-MAX($G77:$J77))+EXP(I77-MAX($G77:$J77))+EXP(J77-MAX($G77:$J77)))</f>
        <v>0.57711456210117384</v>
      </c>
      <c r="J83" s="1">
        <f>EXP(I77-MAX($G77:$J77))/(EXP(G77-MAX($G77:$J77))+EXP(H77-MAX($G77:$J77))+EXP(I77-MAX($G77:$J77))+EXP(J77-MAX($G77:$J77)))</f>
        <v>0.32431952850844764</v>
      </c>
      <c r="K83" s="4">
        <f>EXP(J77-MAX($G77:$J77))/(EXP(G77-MAX($G77:$J77))+EXP(H77-MAX($G77:$J77))+EXP(I77-MAX($G77:$J77))+EXP(J77-MAX($G77:$J77)))</f>
        <v>0</v>
      </c>
      <c r="M83" s="3" t="str">
        <v>two</v>
      </c>
      <c r="N83" s="1">
        <f>EXP(L77-MAX($L77:$O77))/(EXP(L77-MAX($L77:$O77))+EXP(M77-MAX($L77:$O77))+EXP(N77-MAX($L77:$O77))+EXP(O77-MAX($L77:$O77)))</f>
        <v>0.18538272251712989</v>
      </c>
      <c r="O83" s="1">
        <f>EXP(M77-MAX($L77:$O77))/(EXP(L77-MAX($L77:$O77))+EXP(M77-MAX($L77:$O77))+EXP(N77-MAX($L77:$O77))+EXP(O77-MAX($L77:$O77)))</f>
        <v>0.59051372488376264</v>
      </c>
      <c r="P83" s="1">
        <f>EXP(N77-MAX($L77:$O77))/(EXP(L77-MAX($L77:$O77))+EXP(M77-MAX($L77:$O77))+EXP(N77-MAX($L77:$O77))+EXP(O77-MAX($L77:$O77)))</f>
        <v>0.2241035525991075</v>
      </c>
      <c r="Q83" s="4">
        <f>EXP(O77-MAX($L77:$O77))/(EXP(L77-MAX($L77:$O77))+EXP(M77-MAX($L77:$O77))+EXP(N77-MAX($L77:$O77))+EXP(O77-MAX($L77:$O77)))</f>
        <v>0</v>
      </c>
      <c r="S83" s="3" t="str">
        <v>two</v>
      </c>
      <c r="T83" s="1">
        <f>EXP(Q77-MAX($Q77:$T77))/(EXP(Q77-MAX($Q77:$T77))+EXP(R77-MAX($Q77:$T77))+EXP(S77-MAX($Q77:$T77))+EXP(T77-MAX($Q77:$T77)))</f>
        <v>0.39727001222294467</v>
      </c>
      <c r="U83" s="1">
        <f>EXP(R77-MAX($Q77:$T77))/(EXP(Q77-MAX($Q77:$T77))+EXP(R77-MAX($Q77:$T77))+EXP(S77-MAX($Q77:$T77))+EXP(T77-MAX($Q77:$T77)))</f>
        <v>0.55704704297751917</v>
      </c>
      <c r="V83" s="1">
        <f>EXP(S77-MAX($Q77:$T77))/(EXP(Q77-MAX($Q77:$T77))+EXP(R77-MAX($Q77:$T77))+EXP(S77-MAX($Q77:$T77))+EXP(T77-MAX($Q77:$T77)))</f>
        <v>4.5682944799536239E-2</v>
      </c>
      <c r="W83" s="4">
        <f>EXP(T77-MAX($Q77:$T77))/(EXP(Q77-MAX($Q77:$T77))+EXP(R77-MAX($Q77:$T77))+EXP(S77-MAX($Q77:$T77))+EXP(T77-MAX($Q77:$T77)))</f>
        <v>0</v>
      </c>
    </row>
    <row r="84" spans="1:23" x14ac:dyDescent="0.25">
      <c r="A84" t="str">
        <v>equals</v>
      </c>
      <c r="B84" s="1">
        <f>EXP(B78-MAX($B78:$E78))/(EXP(B78-MAX($B78:$E78))+EXP(C78-MAX($B78:$E78))+EXP(D78-MAX($B78:$E78))+EXP(E78-MAX($B78:$E78)))</f>
        <v>0.25925198312015429</v>
      </c>
      <c r="C84" s="1">
        <f>EXP(C78-MAX($B78:$E78))/(EXP(B78-MAX($B78:$E78))+EXP(C78-MAX($B78:$E78))+EXP(D78-MAX($B78:$E78))+EXP(E78-MAX($B78:$E78)))</f>
        <v>0.25903756659869642</v>
      </c>
      <c r="D84" s="1">
        <f>EXP(D78-MAX($B78:$E78))/(EXP(B78-MAX($B78:$E78))+EXP(C78-MAX($B78:$E78))+EXP(D78-MAX($B78:$E78))+EXP(E78-MAX($B78:$E78)))</f>
        <v>0.23880322026815648</v>
      </c>
      <c r="E84" s="1">
        <f>EXP(E78-MAX($B78:$E78))/(EXP(B78-MAX($B78:$E78))+EXP(C78-MAX($B78:$E78))+EXP(D78-MAX($B78:$E78))+EXP(E78-MAX($B78:$E78)))</f>
        <v>0.24290723001299269</v>
      </c>
      <c r="G84" s="3" t="str">
        <v>equals</v>
      </c>
      <c r="H84" s="1">
        <f>EXP(G78-MAX($G78:$J78))/(EXP(G78-MAX($G78:$J78))+EXP(H78-MAX($G78:$J78))+EXP(I78-MAX($G78:$J78))+EXP(J78-MAX($G78:$J78)))</f>
        <v>0.46989686582516627</v>
      </c>
      <c r="I84" s="1">
        <f>EXP(H78-MAX($G78:$J78))/(EXP(G78-MAX($G78:$J78))+EXP(H78-MAX($G78:$J78))+EXP(I78-MAX($G78:$J78))+EXP(J78-MAX($G78:$J78)))</f>
        <v>1.8380429685101386E-2</v>
      </c>
      <c r="J84" s="1">
        <f>EXP(I78-MAX($G78:$J78))/(EXP(G78-MAX($G78:$J78))+EXP(H78-MAX($G78:$J78))+EXP(I78-MAX($G78:$J78))+EXP(J78-MAX($G78:$J78)))</f>
        <v>0.26228989916155987</v>
      </c>
      <c r="K84" s="1">
        <f>EXP(J78-MAX($G78:$J78))/(EXP(G78-MAX($G78:$J78))+EXP(H78-MAX($G78:$J78))+EXP(I78-MAX($G78:$J78))+EXP(J78-MAX($G78:$J78)))</f>
        <v>0.24943280532817264</v>
      </c>
      <c r="M84" s="3" t="str">
        <v>equals</v>
      </c>
      <c r="N84" s="1">
        <f>EXP(L78-MAX($L78:$O78))/(EXP(L78-MAX($L78:$O78))+EXP(M78-MAX($L78:$O78))+EXP(N78-MAX($L78:$O78))+EXP(O78-MAX($L78:$O78)))</f>
        <v>0.34866234447281663</v>
      </c>
      <c r="O84" s="1">
        <f>EXP(M78-MAX($L78:$O78))/(EXP(L78-MAX($L78:$O78))+EXP(M78-MAX($L78:$O78))+EXP(N78-MAX($L78:$O78))+EXP(O78-MAX($L78:$O78)))</f>
        <v>0.24846101628794223</v>
      </c>
      <c r="P84" s="1">
        <f>EXP(N78-MAX($L78:$O78))/(EXP(L78-MAX($L78:$O78))+EXP(M78-MAX($L78:$O78))+EXP(N78-MAX($L78:$O78))+EXP(O78-MAX($L78:$O78)))</f>
        <v>0.22345241051238424</v>
      </c>
      <c r="Q84" s="1">
        <f>EXP(O78-MAX($L78:$O78))/(EXP(L78-MAX($L78:$O78))+EXP(M78-MAX($L78:$O78))+EXP(N78-MAX($L78:$O78))+EXP(O78-MAX($L78:$O78)))</f>
        <v>0.17942422872685693</v>
      </c>
      <c r="S84" s="3" t="str">
        <v>equals</v>
      </c>
      <c r="T84" s="1">
        <f>EXP(Q78-MAX($Q78:$T78))/(EXP(Q78-MAX($Q78:$T78))+EXP(R78-MAX($Q78:$T78))+EXP(S78-MAX($Q78:$T78))+EXP(T78-MAX($Q78:$T78)))</f>
        <v>0.66232128295160908</v>
      </c>
      <c r="U84" s="1">
        <f>EXP(R78-MAX($Q78:$T78))/(EXP(Q78-MAX($Q78:$T78))+EXP(R78-MAX($Q78:$T78))+EXP(S78-MAX($Q78:$T78))+EXP(T78-MAX($Q78:$T78)))</f>
        <v>5.6370421232745292E-2</v>
      </c>
      <c r="V84" s="1">
        <f>EXP(S78-MAX($Q78:$T78))/(EXP(Q78-MAX($Q78:$T78))+EXP(R78-MAX($Q78:$T78))+EXP(S78-MAX($Q78:$T78))+EXP(T78-MAX($Q78:$T78)))</f>
        <v>0.16774806723621707</v>
      </c>
      <c r="W84" s="1">
        <f>EXP(T78-MAX($Q78:$T78))/(EXP(Q78-MAX($Q78:$T78))+EXP(R78-MAX($Q78:$T78))+EXP(S78-MAX($Q78:$T78))+EXP(T78-MAX($Q78:$T78)))</f>
        <v>0.11356022857942834</v>
      </c>
    </row>
    <row r="86" spans="1:23" x14ac:dyDescent="0.25">
      <c r="A86" s="5" t="s">
        <v>82</v>
      </c>
      <c r="B86" t="s">
        <v>31</v>
      </c>
      <c r="D86" t="s">
        <v>32</v>
      </c>
      <c r="F86" t="s">
        <v>33</v>
      </c>
      <c r="H86" t="s">
        <v>34</v>
      </c>
    </row>
    <row r="87" spans="1:23" x14ac:dyDescent="0.25">
      <c r="A87" s="5" t="s">
        <v>81</v>
      </c>
      <c r="B87" s="45" cm="1">
        <f t="array" ref="B87:C90">MMULT(B81:E84,V42:W45)</f>
        <v>1.6825300558680152</v>
      </c>
      <c r="C87" s="47">
        <v>2.3953592121636507</v>
      </c>
      <c r="D87" s="45" cm="1">
        <f t="array" ref="D87:E90">MMULT(H81:K84,X42:Y45)</f>
        <v>-0.93785966644232499</v>
      </c>
      <c r="E87" s="47">
        <v>1.0200758194347377</v>
      </c>
      <c r="F87" s="45" cm="1">
        <f t="array" ref="F87:G90">MMULT(N81:Q84,Z42:AA45)</f>
        <v>2.6636156843470107</v>
      </c>
      <c r="G87" s="47">
        <v>0.91804438443679559</v>
      </c>
      <c r="H87" s="45" cm="1">
        <f t="array" ref="H87:I90">MMULT(T81:W84,AB42:AC45)</f>
        <v>-0.36691057660090798</v>
      </c>
      <c r="I87" s="47">
        <v>1.3890250945122895</v>
      </c>
    </row>
    <row r="88" spans="1:23" x14ac:dyDescent="0.25">
      <c r="B88" s="48">
        <v>6.6535154869268642E-2</v>
      </c>
      <c r="C88" s="49">
        <v>1.4027159958252826</v>
      </c>
      <c r="D88" s="48">
        <v>-1.0674887178220147</v>
      </c>
      <c r="E88" s="49">
        <v>0.74767319179727965</v>
      </c>
      <c r="F88" s="48">
        <v>1.5012582735657016</v>
      </c>
      <c r="G88" s="49">
        <v>0.48307794692802891</v>
      </c>
      <c r="H88" s="48">
        <v>-0.21114530406375662</v>
      </c>
      <c r="I88" s="49">
        <v>1.0516416277001286</v>
      </c>
    </row>
    <row r="89" spans="1:23" x14ac:dyDescent="0.25">
      <c r="B89" s="48">
        <v>0.11363970195777146</v>
      </c>
      <c r="C89" s="49">
        <v>1.4917621652762487</v>
      </c>
      <c r="D89" s="48">
        <v>-1.3654112334131403</v>
      </c>
      <c r="E89" s="49">
        <v>0.87163115892697696</v>
      </c>
      <c r="F89" s="48">
        <v>0.73228457027469429</v>
      </c>
      <c r="G89" s="49">
        <v>0.17964609273497306</v>
      </c>
      <c r="H89" s="48">
        <v>8.4207994136709985E-2</v>
      </c>
      <c r="I89" s="49">
        <v>0.44711841956435822</v>
      </c>
    </row>
    <row r="90" spans="1:23" x14ac:dyDescent="0.25">
      <c r="B90" s="50">
        <v>-0.31977363778289575</v>
      </c>
      <c r="C90" s="52">
        <v>0.95139322530967163</v>
      </c>
      <c r="D90" s="50">
        <v>-0.84333513141121552</v>
      </c>
      <c r="E90" s="52">
        <v>0.73405445907345168</v>
      </c>
      <c r="F90" s="50">
        <v>1.097106274589158</v>
      </c>
      <c r="G90" s="52">
        <v>0.38009703067939848</v>
      </c>
      <c r="H90" s="50">
        <v>-7.4773152371091334E-2</v>
      </c>
      <c r="I90" s="52">
        <v>0.89204669161449246</v>
      </c>
    </row>
    <row r="92" spans="1:23" x14ac:dyDescent="0.25">
      <c r="A92" t="s">
        <v>46</v>
      </c>
      <c r="B92" s="3">
        <v>-0.227685257792</v>
      </c>
      <c r="C92" s="3">
        <v>-4.2930748313700001E-2</v>
      </c>
      <c r="D92" s="3">
        <v>-0.58921396732300002</v>
      </c>
      <c r="E92" s="3">
        <v>3.8331352174299997E-2</v>
      </c>
      <c r="F92" s="3">
        <v>-0.17220547795300001</v>
      </c>
      <c r="G92" s="3">
        <v>0.58828324079500005</v>
      </c>
      <c r="H92" s="3">
        <v>-0.48911800980600001</v>
      </c>
      <c r="I92" s="3">
        <v>-0.48475348949399999</v>
      </c>
    </row>
    <row r="93" spans="1:23" x14ac:dyDescent="0.25">
      <c r="A93" t="s">
        <v>47</v>
      </c>
      <c r="B93" s="3">
        <v>0.304691195488</v>
      </c>
      <c r="C93" s="3">
        <v>9.4176970422299999E-2</v>
      </c>
      <c r="D93" s="3">
        <v>-0.24320641160000001</v>
      </c>
      <c r="E93" s="3">
        <v>0.199881628156</v>
      </c>
      <c r="F93" s="3">
        <v>-0.19581821560900001</v>
      </c>
      <c r="G93" s="3">
        <v>0.304311603308</v>
      </c>
      <c r="H93" s="3">
        <v>-5.5366590619100001E-2</v>
      </c>
      <c r="I93" s="3">
        <v>-0.34127610921899998</v>
      </c>
      <c r="K93" t="s">
        <v>62</v>
      </c>
      <c r="L93" s="3">
        <v>8.43232646585E-2</v>
      </c>
      <c r="M93" s="3">
        <v>0.18000787496599999</v>
      </c>
      <c r="N93" s="3">
        <v>0.32888990640600002</v>
      </c>
      <c r="O93" s="3">
        <v>-0.40946128964400003</v>
      </c>
      <c r="P93" s="3">
        <v>0.24712079763399999</v>
      </c>
      <c r="Q93" s="3">
        <v>-0.41350275278100002</v>
      </c>
      <c r="R93" s="3">
        <v>0.36206966638600002</v>
      </c>
      <c r="S93" s="3">
        <v>0.31921756267500001</v>
      </c>
    </row>
    <row r="94" spans="1:23" x14ac:dyDescent="0.25">
      <c r="A94" t="s">
        <v>48</v>
      </c>
      <c r="B94" s="3">
        <v>0.236791700125</v>
      </c>
      <c r="C94" s="3">
        <v>2.18398422003E-2</v>
      </c>
      <c r="D94" s="3">
        <v>0.35407015681300003</v>
      </c>
      <c r="E94" s="3">
        <v>-0.29167658090600002</v>
      </c>
      <c r="F94" s="3">
        <v>0.34003594517699998</v>
      </c>
      <c r="G94" s="3">
        <v>-0.22234052419700001</v>
      </c>
      <c r="H94" s="3">
        <v>-0.323375105858</v>
      </c>
      <c r="I94" s="3">
        <v>0.64480334520299998</v>
      </c>
    </row>
    <row r="95" spans="1:23" x14ac:dyDescent="0.25">
      <c r="B95" s="3">
        <v>0.28624770045300002</v>
      </c>
      <c r="C95" s="3">
        <v>0.36999568343200001</v>
      </c>
      <c r="D95" s="3">
        <v>-3.8640838116399998E-2</v>
      </c>
      <c r="E95" s="3">
        <v>0.16349197924100001</v>
      </c>
      <c r="F95" s="3">
        <v>-0.443068414927</v>
      </c>
      <c r="G95" s="3">
        <v>4.46526780725E-2</v>
      </c>
      <c r="H95" s="3">
        <v>0.108000040054</v>
      </c>
      <c r="I95" s="3">
        <v>-0.15832240879500001</v>
      </c>
    </row>
    <row r="96" spans="1:23" x14ac:dyDescent="0.25">
      <c r="B96" s="3">
        <v>0.39759540557900003</v>
      </c>
      <c r="C96" s="3">
        <v>0.11904486268800001</v>
      </c>
      <c r="D96" s="3">
        <v>-0.500298917294</v>
      </c>
      <c r="E96" s="3">
        <v>0.179168298841</v>
      </c>
      <c r="F96" s="3">
        <v>-0.22139741480399999</v>
      </c>
      <c r="G96" s="3">
        <v>0.47324848175000001</v>
      </c>
      <c r="H96" s="3">
        <v>0.35748150944700002</v>
      </c>
      <c r="I96" s="3">
        <v>-0.55017393827399996</v>
      </c>
    </row>
    <row r="97" spans="1:28" x14ac:dyDescent="0.25">
      <c r="B97" s="3">
        <v>0.26170757412899998</v>
      </c>
      <c r="C97" s="3">
        <v>-0.18106751143899999</v>
      </c>
      <c r="D97" s="3">
        <v>-0.11253990232900001</v>
      </c>
      <c r="E97" s="3">
        <v>-0.228481009603</v>
      </c>
      <c r="F97" s="3">
        <v>0.20698444545299999</v>
      </c>
      <c r="G97" s="3">
        <v>-1.4085792645299999E-4</v>
      </c>
      <c r="H97" s="3">
        <v>0.38570964336399999</v>
      </c>
      <c r="I97" s="3">
        <v>-5.27635328472E-2</v>
      </c>
    </row>
    <row r="98" spans="1:28" x14ac:dyDescent="0.25">
      <c r="B98" s="3">
        <v>0.323904573917</v>
      </c>
      <c r="C98" s="3">
        <v>-6.9930367171799998E-2</v>
      </c>
      <c r="D98" s="3">
        <v>-0.1242595613</v>
      </c>
      <c r="E98" s="3">
        <v>4.7064337879400002E-2</v>
      </c>
      <c r="F98" s="3">
        <v>1.02460859343E-2</v>
      </c>
      <c r="G98" s="3">
        <v>-4.91628311574E-2</v>
      </c>
      <c r="H98" s="3">
        <v>1.8765253946199999E-2</v>
      </c>
      <c r="I98" s="3">
        <v>-0.49333953857399998</v>
      </c>
    </row>
    <row r="99" spans="1:28" x14ac:dyDescent="0.25">
      <c r="B99" s="3">
        <v>-1.03112561628E-2</v>
      </c>
      <c r="C99" s="3">
        <v>-0.213940903544</v>
      </c>
      <c r="D99" s="3">
        <v>-3.5223897546500002E-2</v>
      </c>
      <c r="E99" s="3">
        <v>-0.71911400556600003</v>
      </c>
      <c r="F99" s="3">
        <v>0.34924378991100002</v>
      </c>
      <c r="G99" s="3">
        <v>8.2228884100899999E-2</v>
      </c>
      <c r="H99" s="3">
        <v>-0.39878267049799998</v>
      </c>
      <c r="I99" s="3">
        <v>0.15403315424899999</v>
      </c>
    </row>
    <row r="101" spans="1:28" x14ac:dyDescent="0.25">
      <c r="A101" t="s">
        <v>46</v>
      </c>
      <c r="B101" s="3" cm="1">
        <f t="array" ref="B101:I104">MMULT(B87:I90,B92:I99)+L93:S93</f>
        <v>1.6671317294007078</v>
      </c>
      <c r="C101" s="3">
        <v>0.56965487601694431</v>
      </c>
      <c r="D101" s="3">
        <v>-3.05578712386475</v>
      </c>
      <c r="E101" s="3">
        <v>-0.17450944239104399</v>
      </c>
      <c r="F101" s="3">
        <v>-1.2008921637609413</v>
      </c>
      <c r="G101" s="3">
        <v>2.9519895215984215</v>
      </c>
      <c r="H101" s="3">
        <v>0.56542736022500983</v>
      </c>
      <c r="I101" s="3">
        <v>-3.1990333212761293</v>
      </c>
    </row>
    <row r="102" spans="1:28" x14ac:dyDescent="0.25">
      <c r="A102" t="s">
        <v>47</v>
      </c>
      <c r="B102" s="3">
        <v>1.1019005417539109</v>
      </c>
      <c r="C102" s="3">
        <v>0.44360075422266987</v>
      </c>
      <c r="D102" s="3">
        <v>-1.2745692043875001</v>
      </c>
      <c r="E102" s="3">
        <v>-0.30051760406509392</v>
      </c>
      <c r="F102" s="3">
        <v>-0.60053835993205773</v>
      </c>
      <c r="G102" s="3">
        <v>1.1304891006342279</v>
      </c>
      <c r="H102" s="3">
        <v>0.97747177772707372</v>
      </c>
      <c r="I102" s="3">
        <v>-1.5837308320727761</v>
      </c>
    </row>
    <row r="103" spans="1:28" x14ac:dyDescent="0.25">
      <c r="B103" s="3">
        <v>0.79999307065204217</v>
      </c>
      <c r="C103" s="3">
        <v>0.56139930985477327</v>
      </c>
      <c r="D103" s="3">
        <v>-1.0307976776465346</v>
      </c>
      <c r="E103" s="3">
        <v>0.20642424356059003</v>
      </c>
      <c r="F103" s="3">
        <v>-0.88296975231435382</v>
      </c>
      <c r="G103" s="3">
        <v>0.82897043237742185</v>
      </c>
      <c r="H103" s="3">
        <v>0.91391538954330365</v>
      </c>
      <c r="I103" s="3">
        <v>-1.6484276635478465</v>
      </c>
    </row>
    <row r="104" spans="1:28" x14ac:dyDescent="0.25">
      <c r="B104" s="3">
        <v>0.95969998642169563</v>
      </c>
      <c r="C104" s="3">
        <v>0.4126792843907785</v>
      </c>
      <c r="D104" s="3">
        <v>-0.65483146012819271</v>
      </c>
      <c r="E104" s="3">
        <v>-0.40084020152299421</v>
      </c>
      <c r="F104" s="3">
        <v>-0.349559842753149</v>
      </c>
      <c r="G104" s="3">
        <v>0.50436324864464377</v>
      </c>
      <c r="H104" s="3">
        <v>0.99945920896634988</v>
      </c>
      <c r="I104" s="3">
        <v>-0.95982263666490031</v>
      </c>
    </row>
    <row r="105" spans="1:28" x14ac:dyDescent="0.25">
      <c r="B105" s="3"/>
      <c r="C105" s="3"/>
      <c r="D105" s="3"/>
      <c r="E105" s="3"/>
      <c r="F105" s="3"/>
      <c r="G105" s="3"/>
      <c r="H105" s="3"/>
      <c r="I105" s="3"/>
    </row>
    <row r="106" spans="1:28" x14ac:dyDescent="0.25">
      <c r="A106" t="s">
        <v>49</v>
      </c>
      <c r="B106" s="3">
        <f>D18+B101</f>
        <v>3.5660798027907079</v>
      </c>
      <c r="C106" s="3">
        <f>E18+C101</f>
        <v>2.1074833214469444</v>
      </c>
      <c r="D106" s="3">
        <f>F18+D101</f>
        <v>-2.04200760287475</v>
      </c>
      <c r="E106" s="3">
        <f>G18+E101</f>
        <v>-2.4119042521110439</v>
      </c>
      <c r="F106" s="3">
        <f>H18+F101</f>
        <v>-0.73130233431594127</v>
      </c>
      <c r="G106" s="3">
        <f>I18+G101</f>
        <v>1.8047475715584216</v>
      </c>
      <c r="H106" s="3">
        <f>J18+H101</f>
        <v>0.47362152962710985</v>
      </c>
      <c r="I106" s="3">
        <f>K18+I101</f>
        <v>-4.6008185757561293</v>
      </c>
    </row>
    <row r="107" spans="1:28" x14ac:dyDescent="0.25">
      <c r="A107" t="s">
        <v>50</v>
      </c>
      <c r="B107" s="3">
        <f>D19+B102</f>
        <v>-0.51982930901608904</v>
      </c>
      <c r="C107" s="3">
        <f>E19+C102</f>
        <v>1.3479919237706699</v>
      </c>
      <c r="D107" s="3">
        <f>F19+D102</f>
        <v>-2.0279601722335001</v>
      </c>
      <c r="E107" s="3">
        <f>G19+E102</f>
        <v>-0.80741010637309385</v>
      </c>
      <c r="F107" s="3">
        <f>H19+F102</f>
        <v>-1.8730214703620578</v>
      </c>
      <c r="G107" s="3">
        <f>I19+G102</f>
        <v>3.1467997924642277</v>
      </c>
      <c r="H107" s="3">
        <f>J19+H102</f>
        <v>-0.27452593154292637</v>
      </c>
      <c r="I107" s="3">
        <f>K19+I102</f>
        <v>-2.0822868797507761</v>
      </c>
      <c r="K107" t="s">
        <v>63</v>
      </c>
      <c r="L107" s="3">
        <v>0.94048166275</v>
      </c>
      <c r="M107" s="3">
        <v>0.82591450214399997</v>
      </c>
      <c r="N107" s="3">
        <v>1.0872704982800001</v>
      </c>
      <c r="O107" s="3">
        <v>1.08745980263</v>
      </c>
      <c r="P107" s="3">
        <v>1.0101135969199999</v>
      </c>
      <c r="Q107" s="3">
        <v>0.93220126628900002</v>
      </c>
      <c r="R107" s="3">
        <v>0.89028990268700003</v>
      </c>
      <c r="S107" s="3">
        <v>1.2179744243599999</v>
      </c>
    </row>
    <row r="108" spans="1:28" x14ac:dyDescent="0.25">
      <c r="B108" s="3">
        <f>D20+B103</f>
        <v>0.39839789538604214</v>
      </c>
      <c r="C108" s="3">
        <f>E20+C103</f>
        <v>2.5737780024847732</v>
      </c>
      <c r="D108" s="3">
        <f>F20+D103</f>
        <v>-0.91748026252853465</v>
      </c>
      <c r="E108" s="3">
        <f>G20+E103</f>
        <v>-1.4397014306894098</v>
      </c>
      <c r="F108" s="3">
        <f>H20+F103</f>
        <v>-1.9407974634243539</v>
      </c>
      <c r="G108" s="3">
        <f>I20+G103</f>
        <v>9.5002889729421836E-2</v>
      </c>
      <c r="H108" s="3">
        <f>J20+H103</f>
        <v>0.48791753626430362</v>
      </c>
      <c r="I108" s="3">
        <f>K20+I103</f>
        <v>-1.1935093982048466</v>
      </c>
      <c r="K108" t="s">
        <v>64</v>
      </c>
      <c r="L108" s="3">
        <v>7.3604807257699995E-2</v>
      </c>
      <c r="M108" s="3">
        <v>-5.9572719037499999E-2</v>
      </c>
      <c r="N108" s="3">
        <v>-0.20599099993700001</v>
      </c>
      <c r="O108" s="3">
        <v>-0.150229871273</v>
      </c>
      <c r="P108" s="3">
        <v>0.53830891847600004</v>
      </c>
      <c r="Q108" s="3">
        <v>-0.124600231647</v>
      </c>
      <c r="R108" s="3">
        <v>-2.2362861782299999E-3</v>
      </c>
      <c r="S108" s="3">
        <v>0.133196815848</v>
      </c>
      <c r="U108" s="45">
        <v>0.65380156040199999</v>
      </c>
      <c r="V108" s="46">
        <v>0.63998925685899999</v>
      </c>
      <c r="W108" s="46">
        <v>0.46523708105099998</v>
      </c>
      <c r="X108" s="46">
        <v>0.27787324786200002</v>
      </c>
      <c r="Y108" s="46">
        <v>-0.76043921709100004</v>
      </c>
      <c r="Z108" s="46">
        <v>-0.54799133539199996</v>
      </c>
      <c r="AA108" s="46">
        <v>-0.79614955186799996</v>
      </c>
      <c r="AB108" s="47">
        <v>2.7787254657600001E-3</v>
      </c>
    </row>
    <row r="109" spans="1:28" x14ac:dyDescent="0.25">
      <c r="B109" s="3">
        <f>D21+B104</f>
        <v>7.5422761880695632E-2</v>
      </c>
      <c r="C109" s="3">
        <f>E21+C104</f>
        <v>-0.26274988097222152</v>
      </c>
      <c r="D109" s="3">
        <f>F21+D104</f>
        <v>-0.5246154725651927</v>
      </c>
      <c r="E109" s="3">
        <f>G21+E104</f>
        <v>7.4397644852005784E-2</v>
      </c>
      <c r="F109" s="3">
        <f>H21+F104</f>
        <v>-0.73512712042314898</v>
      </c>
      <c r="G109" s="3">
        <f>I21+G104</f>
        <v>1.5672121742346437</v>
      </c>
      <c r="H109" s="3">
        <f>J21+H104</f>
        <v>0.43770069074734985</v>
      </c>
      <c r="I109" s="3">
        <f>K21+I104</f>
        <v>-1.6739077387459003</v>
      </c>
      <c r="U109" s="48">
        <v>0.20386174321200001</v>
      </c>
      <c r="V109" s="3">
        <v>0.42560485005400001</v>
      </c>
      <c r="W109" s="3">
        <v>0.52896487712899998</v>
      </c>
      <c r="X109" s="3">
        <v>-0.71481168270100004</v>
      </c>
      <c r="Y109" s="3">
        <v>-0.35163021087599999</v>
      </c>
      <c r="Z109" s="3">
        <v>0.69070541858699996</v>
      </c>
      <c r="AA109" s="3">
        <v>-0.49994936585400002</v>
      </c>
      <c r="AB109" s="49">
        <v>3.1892407685500002E-2</v>
      </c>
    </row>
    <row r="110" spans="1:28" x14ac:dyDescent="0.25">
      <c r="B110" s="3"/>
      <c r="C110" s="3"/>
      <c r="D110" s="3"/>
      <c r="E110" s="3"/>
      <c r="F110" s="3"/>
      <c r="G110" s="3"/>
      <c r="H110" s="3"/>
      <c r="I110" s="3"/>
      <c r="U110" s="48">
        <v>-0.16467547416700001</v>
      </c>
      <c r="V110" s="3">
        <v>-0.46872842311899998</v>
      </c>
      <c r="W110" s="3">
        <v>-0.61239147186300003</v>
      </c>
      <c r="X110" s="3">
        <v>-0.24465791881099999</v>
      </c>
      <c r="Y110" s="3">
        <v>0.28737288713499998</v>
      </c>
      <c r="Z110" s="3">
        <v>0.47117096185700003</v>
      </c>
      <c r="AA110" s="3">
        <v>0.58368521928799999</v>
      </c>
      <c r="AB110" s="49">
        <v>0.61310625076299996</v>
      </c>
    </row>
    <row r="111" spans="1:28" x14ac:dyDescent="0.25">
      <c r="A111" t="s">
        <v>51</v>
      </c>
      <c r="B111" s="3">
        <f t="shared" ref="B111:I114" si="17">(B106-AVERAGE($B106:$I106))/SQRT(VARP($B106:$I106)+0.00001)*L$107+L$108</f>
        <v>1.474887015657476</v>
      </c>
      <c r="C111" s="3">
        <f t="shared" si="17"/>
        <v>0.69808123856544246</v>
      </c>
      <c r="D111" s="3">
        <f t="shared" si="17"/>
        <v>-0.9797374071664432</v>
      </c>
      <c r="E111" s="3">
        <f t="shared" si="17"/>
        <v>-1.0820240106514849</v>
      </c>
      <c r="F111" s="3">
        <f t="shared" si="17"/>
        <v>0.33922661677543314</v>
      </c>
      <c r="G111" s="3">
        <f t="shared" si="17"/>
        <v>0.61976678130313978</v>
      </c>
      <c r="H111" s="3">
        <f t="shared" si="17"/>
        <v>0.24342656168252047</v>
      </c>
      <c r="I111" s="3">
        <f t="shared" si="17"/>
        <v>-1.9570546308860888</v>
      </c>
      <c r="U111" s="48">
        <v>1.73986461014E-2</v>
      </c>
      <c r="V111" s="3">
        <v>9.7417391836600004E-2</v>
      </c>
      <c r="W111" s="3">
        <v>-0.244526714087</v>
      </c>
      <c r="X111" s="3">
        <v>2.6268178597100001E-2</v>
      </c>
      <c r="Y111" s="3">
        <v>-0.38355129957200002</v>
      </c>
      <c r="Z111" s="3">
        <v>-0.48879769444499999</v>
      </c>
      <c r="AA111" s="3">
        <v>9.9300898611500002E-2</v>
      </c>
      <c r="AB111" s="49">
        <v>0.285685300827</v>
      </c>
    </row>
    <row r="112" spans="1:28" x14ac:dyDescent="0.25">
      <c r="B112" s="3">
        <f t="shared" si="17"/>
        <v>2.9087856860061934E-4</v>
      </c>
      <c r="C112" s="3">
        <f t="shared" si="17"/>
        <v>0.77650710447440718</v>
      </c>
      <c r="D112" s="3">
        <f t="shared" si="17"/>
        <v>-1.2478800561255443</v>
      </c>
      <c r="E112" s="3">
        <f t="shared" si="17"/>
        <v>-0.41754566288626571</v>
      </c>
      <c r="F112" s="3">
        <f t="shared" si="17"/>
        <v>-0.3382901089289998</v>
      </c>
      <c r="G112" s="3">
        <f t="shared" si="17"/>
        <v>1.7978652817957681</v>
      </c>
      <c r="H112" s="3">
        <f t="shared" si="17"/>
        <v>5.583898239299432E-2</v>
      </c>
      <c r="I112" s="3">
        <f t="shared" si="17"/>
        <v>-1.0725638158677704</v>
      </c>
      <c r="U112" s="48">
        <v>0.56751167774199995</v>
      </c>
      <c r="V112" s="3">
        <v>0.78164964914299995</v>
      </c>
      <c r="W112" s="3">
        <v>-0.27239289879799999</v>
      </c>
      <c r="X112" s="3">
        <v>-0.46858048439</v>
      </c>
      <c r="Y112" s="3">
        <v>-0.25067281723000001</v>
      </c>
      <c r="Z112" s="3">
        <v>0.66377335786799996</v>
      </c>
      <c r="AA112" s="3">
        <v>-0.83745300769800002</v>
      </c>
      <c r="AB112" s="49">
        <v>-0.71408480405800001</v>
      </c>
    </row>
    <row r="113" spans="1:28" x14ac:dyDescent="0.25">
      <c r="B113" s="3">
        <f t="shared" si="17"/>
        <v>0.5184459993877184</v>
      </c>
      <c r="C113" s="3">
        <f t="shared" si="17"/>
        <v>1.6579899218771978</v>
      </c>
      <c r="D113" s="3">
        <f t="shared" si="17"/>
        <v>-0.74835426085489332</v>
      </c>
      <c r="E113" s="3">
        <f t="shared" si="17"/>
        <v>-1.1120979710721735</v>
      </c>
      <c r="F113" s="3">
        <f t="shared" si="17"/>
        <v>-0.72896590230312308</v>
      </c>
      <c r="G113" s="3">
        <f t="shared" si="17"/>
        <v>0.10744786557565884</v>
      </c>
      <c r="H113" s="3">
        <f t="shared" si="17"/>
        <v>0.47772469855986793</v>
      </c>
      <c r="I113" s="3">
        <f t="shared" si="17"/>
        <v>-0.72265857759385443</v>
      </c>
      <c r="U113" s="48">
        <v>5.4811954498300001E-2</v>
      </c>
      <c r="V113" s="3">
        <v>-3.8380723446599999E-2</v>
      </c>
      <c r="W113" s="3">
        <v>0.28090476989699997</v>
      </c>
      <c r="X113" s="3">
        <v>-0.29175245761899998</v>
      </c>
      <c r="Y113" s="3">
        <v>-0.46980670094499999</v>
      </c>
      <c r="Z113" s="3">
        <v>0.46734371781299999</v>
      </c>
      <c r="AA113" s="3">
        <v>0.44285315275199999</v>
      </c>
      <c r="AB113" s="49">
        <v>-0.74208664894099996</v>
      </c>
    </row>
    <row r="114" spans="1:28" x14ac:dyDescent="0.25">
      <c r="B114" s="3">
        <f t="shared" si="17"/>
        <v>0.29310598798936122</v>
      </c>
      <c r="C114" s="3">
        <f t="shared" si="17"/>
        <v>-0.18381936803451049</v>
      </c>
      <c r="D114" s="3">
        <f t="shared" si="17"/>
        <v>-0.69271190666892235</v>
      </c>
      <c r="E114" s="3">
        <f t="shared" si="17"/>
        <v>0.10230960268904524</v>
      </c>
      <c r="F114" s="3">
        <f t="shared" si="17"/>
        <v>-0.15522057139048728</v>
      </c>
      <c r="G114" s="3">
        <f t="shared" si="17"/>
        <v>1.6713603881500119</v>
      </c>
      <c r="H114" s="3">
        <f t="shared" si="17"/>
        <v>0.57162629997073366</v>
      </c>
      <c r="I114" s="3">
        <f t="shared" si="17"/>
        <v>-2.000823568626902</v>
      </c>
      <c r="U114" s="48">
        <v>-2.5637572631199999E-2</v>
      </c>
      <c r="V114" s="3">
        <v>-0.28974124789200001</v>
      </c>
      <c r="W114" s="3">
        <v>-0.14237439632400001</v>
      </c>
      <c r="X114" s="3">
        <v>0.10174169391399999</v>
      </c>
      <c r="Y114" s="3">
        <v>0.91818654537199995</v>
      </c>
      <c r="Z114" s="3">
        <v>-0.31377851962999997</v>
      </c>
      <c r="AA114" s="3">
        <v>-1.8807819113100002E-2</v>
      </c>
      <c r="AB114" s="49">
        <v>0.29220953583699999</v>
      </c>
    </row>
    <row r="115" spans="1:28" x14ac:dyDescent="0.25">
      <c r="U115" s="48">
        <v>0.69779258966400004</v>
      </c>
      <c r="V115" s="3">
        <v>0.81865900754900001</v>
      </c>
      <c r="W115" s="3">
        <v>-0.11686790734499999</v>
      </c>
      <c r="X115" s="3">
        <v>-0.527048230171</v>
      </c>
      <c r="Y115" s="3">
        <v>-0.126363635063</v>
      </c>
      <c r="Z115" s="3">
        <v>0.88615649938600005</v>
      </c>
      <c r="AA115" s="3">
        <v>-0.57231515645999997</v>
      </c>
      <c r="AB115" s="49">
        <v>-0.45132011175199999</v>
      </c>
    </row>
    <row r="116" spans="1:28" x14ac:dyDescent="0.25">
      <c r="A116" s="54" t="s">
        <v>52</v>
      </c>
      <c r="B116" s="46">
        <v>0.65855908393899998</v>
      </c>
      <c r="C116" s="46">
        <v>0.247375965118</v>
      </c>
      <c r="D116" s="46">
        <v>-0.40510380268099999</v>
      </c>
      <c r="E116" s="46">
        <v>-0.30686187744100002</v>
      </c>
      <c r="F116" s="46">
        <v>-0.14562746882399999</v>
      </c>
      <c r="G116" s="46">
        <v>0.90137368440599996</v>
      </c>
      <c r="H116" s="46">
        <v>-6.2352117151000003E-2</v>
      </c>
      <c r="I116" s="46">
        <v>-3.9771486073699999E-2</v>
      </c>
      <c r="J116" s="46">
        <v>0.42983087897299999</v>
      </c>
      <c r="K116" s="46">
        <v>-6.6882461309399996E-2</v>
      </c>
      <c r="L116" s="46">
        <v>6.9349870085699997E-2</v>
      </c>
      <c r="M116" s="46">
        <v>0.95749187469499997</v>
      </c>
      <c r="N116" s="46">
        <v>0.61053276061999995</v>
      </c>
      <c r="O116" s="46">
        <v>0.32307174801799998</v>
      </c>
      <c r="P116" s="46">
        <v>0.105392359197</v>
      </c>
      <c r="Q116" s="46">
        <v>0.32801157236099998</v>
      </c>
      <c r="R116" s="56"/>
      <c r="S116" s="56"/>
      <c r="T116" s="61" t="s">
        <v>53</v>
      </c>
      <c r="U116" s="3">
        <v>-0.14338347315800001</v>
      </c>
      <c r="V116" s="3">
        <v>1.28726121038E-2</v>
      </c>
      <c r="W116" s="3">
        <v>-0.26813545823099999</v>
      </c>
      <c r="X116" s="3">
        <v>2.24933605641E-2</v>
      </c>
      <c r="Y116" s="3">
        <v>-0.32218402624100001</v>
      </c>
      <c r="Z116" s="3">
        <v>8.0425314605199999E-2</v>
      </c>
      <c r="AA116" s="3">
        <v>9.9942788481700004E-2</v>
      </c>
      <c r="AB116" s="49">
        <v>-0.16301779449000001</v>
      </c>
    </row>
    <row r="117" spans="1:28" x14ac:dyDescent="0.25">
      <c r="A117" s="55"/>
      <c r="B117" s="3">
        <v>7.0561140775699999E-2</v>
      </c>
      <c r="C117" s="3">
        <v>0.42614600062399999</v>
      </c>
      <c r="D117" s="3">
        <v>0.41959446668599998</v>
      </c>
      <c r="E117" s="3">
        <v>-0.17956934869300001</v>
      </c>
      <c r="F117" s="3">
        <v>9.4637416303199995E-2</v>
      </c>
      <c r="G117" s="3">
        <v>5.0651889294400003E-2</v>
      </c>
      <c r="H117" s="3">
        <v>0.37737256288499998</v>
      </c>
      <c r="I117" s="3">
        <v>0.35482695698700001</v>
      </c>
      <c r="J117" s="3">
        <v>-8.2411095500000003E-2</v>
      </c>
      <c r="K117" s="3">
        <v>0.14026488363699999</v>
      </c>
      <c r="L117" s="3">
        <v>-0.559133410454</v>
      </c>
      <c r="M117" s="3">
        <v>-0.39692488312700003</v>
      </c>
      <c r="N117" s="3">
        <v>-0.43756300210999999</v>
      </c>
      <c r="O117" s="3">
        <v>0.34393057227099999</v>
      </c>
      <c r="P117" s="3">
        <v>0.240622773767</v>
      </c>
      <c r="Q117" s="3">
        <v>0.57430642843199997</v>
      </c>
      <c r="U117" s="3">
        <v>8.5578031837899998E-2</v>
      </c>
      <c r="V117" s="3">
        <v>0.28572869300800002</v>
      </c>
      <c r="W117" s="3">
        <v>-0.38631129264800002</v>
      </c>
      <c r="X117" s="3">
        <v>-0.10002142936</v>
      </c>
      <c r="Y117" s="3">
        <v>-7.94892832637E-2</v>
      </c>
      <c r="Z117" s="3">
        <v>-0.21485817432400001</v>
      </c>
      <c r="AA117" s="3">
        <v>9.5666348934199993E-2</v>
      </c>
      <c r="AB117" s="49">
        <v>3.7558041512999997E-2</v>
      </c>
    </row>
    <row r="118" spans="1:28" x14ac:dyDescent="0.25">
      <c r="A118" s="55"/>
      <c r="B118" s="3">
        <v>-0.96964406967200001</v>
      </c>
      <c r="C118" s="3">
        <v>-1.1537457816300001E-2</v>
      </c>
      <c r="D118" s="3">
        <v>0.43790012598</v>
      </c>
      <c r="E118" s="3">
        <v>8.2289956510100001E-2</v>
      </c>
      <c r="F118" s="3">
        <v>-0.131339415908</v>
      </c>
      <c r="G118" s="3">
        <v>-0.54552716016799996</v>
      </c>
      <c r="H118" s="3">
        <v>-0.66841453313800003</v>
      </c>
      <c r="I118" s="3">
        <v>2.86512766033E-2</v>
      </c>
      <c r="J118" s="3">
        <v>-0.25135299563399999</v>
      </c>
      <c r="K118" s="3">
        <v>0.101983785629</v>
      </c>
      <c r="L118" s="3">
        <v>-0.34035906195600002</v>
      </c>
      <c r="M118" s="3">
        <v>-0.88881808519399996</v>
      </c>
      <c r="N118" s="3">
        <v>-0.90412408113499998</v>
      </c>
      <c r="O118" s="3">
        <v>0.105749756098</v>
      </c>
      <c r="P118" s="3">
        <v>-0.11779485642900001</v>
      </c>
      <c r="Q118" s="3">
        <v>-0.65865451097500005</v>
      </c>
      <c r="U118" s="3">
        <v>-0.46130198240300002</v>
      </c>
      <c r="V118" s="3">
        <v>-0.37592995166799997</v>
      </c>
      <c r="W118" s="3">
        <v>-0.119229398668</v>
      </c>
      <c r="X118" s="3">
        <v>-0.239179626107</v>
      </c>
      <c r="Y118" s="3">
        <v>-2.02591698617E-2</v>
      </c>
      <c r="Z118" s="3">
        <v>-0.31621810793900001</v>
      </c>
      <c r="AA118" s="3">
        <v>8.6163461208299999E-2</v>
      </c>
      <c r="AB118" s="49">
        <v>0.59569793939600002</v>
      </c>
    </row>
    <row r="119" spans="1:28" x14ac:dyDescent="0.25">
      <c r="A119" s="55"/>
      <c r="B119" s="3">
        <v>-0.49029433727299998</v>
      </c>
      <c r="C119" s="3">
        <v>0.38741406798400002</v>
      </c>
      <c r="D119" s="3">
        <v>0.21850000321900001</v>
      </c>
      <c r="E119" s="3">
        <v>5.66964671016E-2</v>
      </c>
      <c r="F119" s="3">
        <v>-0.85554009675999998</v>
      </c>
      <c r="G119" s="3">
        <v>-0.35538703203200001</v>
      </c>
      <c r="H119" s="3">
        <v>0.47944489121400002</v>
      </c>
      <c r="I119" s="3">
        <v>-0.309967726469</v>
      </c>
      <c r="J119" s="3">
        <v>-0.23641389608400001</v>
      </c>
      <c r="K119" s="3">
        <v>-9.5074167475099995E-3</v>
      </c>
      <c r="L119" s="3">
        <v>0.111535705626</v>
      </c>
      <c r="M119" s="3">
        <v>-0.246281698346</v>
      </c>
      <c r="N119" s="3">
        <v>2.12625041604E-2</v>
      </c>
      <c r="O119" s="3">
        <v>0.121678113937</v>
      </c>
      <c r="P119" s="3">
        <v>-0.55345153808600001</v>
      </c>
      <c r="Q119" s="3">
        <v>0.220316708088</v>
      </c>
      <c r="U119" s="3">
        <v>0.78712403774299999</v>
      </c>
      <c r="V119" s="3">
        <v>0.34376779198599999</v>
      </c>
      <c r="W119" s="3">
        <v>0.379807502031</v>
      </c>
      <c r="X119" s="3">
        <v>0.57580506801599995</v>
      </c>
      <c r="Y119" s="3">
        <v>-0.54322803020499999</v>
      </c>
      <c r="Z119" s="3">
        <v>-0.56630504131299997</v>
      </c>
      <c r="AA119" s="3">
        <v>-0.97540676593800002</v>
      </c>
      <c r="AB119" s="49">
        <v>-0.22055871784700001</v>
      </c>
    </row>
    <row r="120" spans="1:28" x14ac:dyDescent="0.25">
      <c r="A120" s="55"/>
      <c r="B120" s="3">
        <v>0.85011291503899999</v>
      </c>
      <c r="C120" s="3">
        <v>-0.78871428966500001</v>
      </c>
      <c r="D120" s="3">
        <v>-0.24905468523499999</v>
      </c>
      <c r="E120" s="3">
        <v>0.76109379529999999</v>
      </c>
      <c r="F120" s="3">
        <v>0.41902032494500002</v>
      </c>
      <c r="G120" s="3">
        <v>6.2750196084400004E-3</v>
      </c>
      <c r="H120" s="3">
        <v>-0.25957578420600003</v>
      </c>
      <c r="I120" s="3">
        <v>0.76983606815299999</v>
      </c>
      <c r="J120" s="3">
        <v>-0.35612946748699997</v>
      </c>
      <c r="K120" s="3">
        <v>-0.36290910840000001</v>
      </c>
      <c r="L120" s="3">
        <v>0.70325994491599997</v>
      </c>
      <c r="M120" s="3">
        <v>0.54860377311700004</v>
      </c>
      <c r="N120" s="3">
        <v>0.33109995722800001</v>
      </c>
      <c r="O120" s="3">
        <v>8.1417590379700006E-2</v>
      </c>
      <c r="P120" s="3">
        <v>0.30222597718200001</v>
      </c>
      <c r="Q120" s="3">
        <v>-0.29892024397900002</v>
      </c>
      <c r="U120" s="3">
        <v>-0.56774139404299995</v>
      </c>
      <c r="V120" s="3">
        <v>-0.44826155900999998</v>
      </c>
      <c r="W120" s="3">
        <v>-9.04136896133E-2</v>
      </c>
      <c r="X120" s="3">
        <v>-6.5194942057099997E-2</v>
      </c>
      <c r="Y120" s="3">
        <v>0.34905576705899999</v>
      </c>
      <c r="Z120" s="3">
        <v>-1.2658745981800001E-3</v>
      </c>
      <c r="AA120" s="3">
        <v>0.39396139979400002</v>
      </c>
      <c r="AB120" s="49">
        <v>0.42450684308999997</v>
      </c>
    </row>
    <row r="121" spans="1:28" x14ac:dyDescent="0.25">
      <c r="A121" s="55"/>
      <c r="B121" s="3">
        <v>3.8962129503499997E-2</v>
      </c>
      <c r="C121" s="3">
        <v>0.155238643289</v>
      </c>
      <c r="D121" s="3">
        <v>-0.57461971044500004</v>
      </c>
      <c r="E121" s="3">
        <v>0.32973256707199999</v>
      </c>
      <c r="F121" s="3">
        <v>-0.36737698316599998</v>
      </c>
      <c r="G121" s="3">
        <v>0.34713563323000002</v>
      </c>
      <c r="H121" s="3">
        <v>-5.74187301099E-2</v>
      </c>
      <c r="I121" s="3">
        <v>-0.52558648586300005</v>
      </c>
      <c r="J121" s="3">
        <v>-8.5049621760799998E-2</v>
      </c>
      <c r="K121" s="3">
        <v>0.124303549528</v>
      </c>
      <c r="L121" s="3">
        <v>0.53730392456099996</v>
      </c>
      <c r="M121" s="3">
        <v>0.104916885495</v>
      </c>
      <c r="N121" s="3">
        <v>3.0407175421699999E-2</v>
      </c>
      <c r="O121" s="3">
        <v>5.5369436740899999E-3</v>
      </c>
      <c r="P121" s="3">
        <v>-0.11621550470600001</v>
      </c>
      <c r="Q121" s="3">
        <v>8.5723702795800002E-4</v>
      </c>
      <c r="U121" s="3">
        <v>-1.8050402402900002E-2</v>
      </c>
      <c r="V121" s="3">
        <v>3.8329511880900002E-2</v>
      </c>
      <c r="W121" s="3">
        <v>9.5327168703099999E-2</v>
      </c>
      <c r="X121" s="3">
        <v>6.1358571052600001E-2</v>
      </c>
      <c r="Y121" s="3">
        <v>-0.212437570095</v>
      </c>
      <c r="Z121" s="3">
        <v>-1.2541025876999999E-2</v>
      </c>
      <c r="AA121" s="3">
        <v>-0.128914415836</v>
      </c>
      <c r="AB121" s="49">
        <v>1.6130566597E-2</v>
      </c>
    </row>
    <row r="122" spans="1:28" x14ac:dyDescent="0.25">
      <c r="A122" s="55"/>
      <c r="B122" s="3">
        <v>-0.33994796872100003</v>
      </c>
      <c r="C122" s="3">
        <v>0.50937128067000004</v>
      </c>
      <c r="D122" s="3">
        <v>-9.2155367136000005E-2</v>
      </c>
      <c r="E122" s="3">
        <v>-6.2681235372999994E-2</v>
      </c>
      <c r="F122" s="3">
        <v>-0.54875582456600003</v>
      </c>
      <c r="G122" s="3">
        <v>0.31903636455500001</v>
      </c>
      <c r="H122" s="3">
        <v>3.0990045517700002E-2</v>
      </c>
      <c r="I122" s="3">
        <v>-0.41003209352499997</v>
      </c>
      <c r="J122" s="3">
        <v>0.15444207191500001</v>
      </c>
      <c r="K122" s="3">
        <v>0.184084400535</v>
      </c>
      <c r="L122" s="3">
        <v>0.100005038083</v>
      </c>
      <c r="M122" s="3">
        <v>-0.55887258052800004</v>
      </c>
      <c r="N122" s="3">
        <v>8.6099490523300001E-2</v>
      </c>
      <c r="O122" s="3">
        <v>-2.5714814662900001E-2</v>
      </c>
      <c r="P122" s="3">
        <v>-0.39875939488399997</v>
      </c>
      <c r="Q122" s="3">
        <v>0.11734274029699999</v>
      </c>
      <c r="U122" s="3">
        <v>-1.28083658637E-4</v>
      </c>
      <c r="V122" s="3">
        <v>0.62476903200099998</v>
      </c>
      <c r="W122" s="3">
        <v>-0.52770555019400001</v>
      </c>
      <c r="X122" s="3">
        <v>0.15361104905600001</v>
      </c>
      <c r="Y122" s="3">
        <v>0.20832221209999999</v>
      </c>
      <c r="Z122" s="3">
        <v>0.64128822088199999</v>
      </c>
      <c r="AA122" s="3">
        <v>-0.91840815544099996</v>
      </c>
      <c r="AB122" s="49">
        <v>0.108948364854</v>
      </c>
    </row>
    <row r="123" spans="1:28" x14ac:dyDescent="0.25">
      <c r="A123" s="55"/>
      <c r="B123" s="3">
        <v>-1.0215300135299999E-3</v>
      </c>
      <c r="C123" s="3">
        <v>-0.57288050651599998</v>
      </c>
      <c r="D123" s="3">
        <v>-0.19400258362299999</v>
      </c>
      <c r="E123" s="3">
        <v>-0.44583189487500002</v>
      </c>
      <c r="F123" s="3">
        <v>0.78264307975799996</v>
      </c>
      <c r="G123" s="3">
        <v>-0.24963971972499999</v>
      </c>
      <c r="H123" s="3">
        <v>-7.3840908706199998E-2</v>
      </c>
      <c r="I123" s="3">
        <v>0.95773655176200001</v>
      </c>
      <c r="J123" s="3">
        <v>0.19428023695900001</v>
      </c>
      <c r="K123" s="3">
        <v>-0.39871388673800001</v>
      </c>
      <c r="L123" s="3">
        <v>-0.166650667787</v>
      </c>
      <c r="M123" s="3">
        <v>0.22771453857400001</v>
      </c>
      <c r="N123" s="3">
        <v>-0.16871072351899999</v>
      </c>
      <c r="O123" s="3">
        <v>4.8592686653099997E-3</v>
      </c>
      <c r="P123" s="3">
        <v>0.92990368604700002</v>
      </c>
      <c r="Q123" s="3">
        <v>-0.53339624404899999</v>
      </c>
      <c r="U123" s="3">
        <v>3.2304044812900001E-2</v>
      </c>
      <c r="V123" s="3">
        <v>-3.7151601165500002E-2</v>
      </c>
      <c r="W123" s="3">
        <v>-8.2215666770900003E-2</v>
      </c>
      <c r="X123" s="3">
        <v>0.54054784774800002</v>
      </c>
      <c r="Y123" s="3">
        <v>0.47306454181699997</v>
      </c>
      <c r="Z123" s="3">
        <v>-0.65267807245300002</v>
      </c>
      <c r="AA123" s="3">
        <v>-0.22353570163200001</v>
      </c>
      <c r="AB123" s="49">
        <v>0.35477641224899997</v>
      </c>
    </row>
    <row r="124" spans="1:28" x14ac:dyDescent="0.25">
      <c r="A124" s="5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Y124" s="3"/>
      <c r="Z124" s="3"/>
      <c r="AA124" s="3"/>
      <c r="AB124" s="49"/>
    </row>
    <row r="125" spans="1:28" x14ac:dyDescent="0.25">
      <c r="A125" s="62" t="s">
        <v>83</v>
      </c>
      <c r="B125" s="51">
        <v>8.0120123922800005E-2</v>
      </c>
      <c r="C125" s="51">
        <v>-0.32195743918399999</v>
      </c>
      <c r="D125" s="51">
        <v>-0.264730751514</v>
      </c>
      <c r="E125" s="51">
        <v>-1.8011648207900001E-2</v>
      </c>
      <c r="F125" s="51">
        <v>0.41245678067199998</v>
      </c>
      <c r="G125" s="51">
        <v>-0.26637837290799998</v>
      </c>
      <c r="H125" s="51">
        <v>0.16497224569300001</v>
      </c>
      <c r="I125" s="51">
        <v>-9.1823756694800002E-2</v>
      </c>
      <c r="J125" s="51">
        <v>-0.21360945701600001</v>
      </c>
      <c r="K125" s="51">
        <v>0.21213024854699999</v>
      </c>
      <c r="L125" s="51">
        <v>0.30172690749199998</v>
      </c>
      <c r="M125" s="51">
        <v>0.228981569409</v>
      </c>
      <c r="N125" s="51">
        <v>0.29625037312500002</v>
      </c>
      <c r="O125" s="51">
        <v>-0.30695861578</v>
      </c>
      <c r="P125" s="51">
        <v>0.168809562922</v>
      </c>
      <c r="Q125" s="51">
        <v>6.7095644772100005E-2</v>
      </c>
      <c r="R125" s="53"/>
      <c r="S125" s="53"/>
      <c r="T125" s="63" t="s">
        <v>84</v>
      </c>
      <c r="U125" s="51">
        <v>5.7242356240700003E-2</v>
      </c>
      <c r="V125" s="51">
        <v>-0.16314640641200001</v>
      </c>
      <c r="W125" s="51">
        <v>-0.26818734407400002</v>
      </c>
      <c r="X125" s="51">
        <v>0.186604768038</v>
      </c>
      <c r="Y125" s="51">
        <v>0.24573500454399999</v>
      </c>
      <c r="Z125" s="51">
        <v>-0.204172313213</v>
      </c>
      <c r="AA125" s="51">
        <v>-0.25449725985499999</v>
      </c>
      <c r="AB125" s="52">
        <v>0.224094897509</v>
      </c>
    </row>
    <row r="126" spans="1:28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28" x14ac:dyDescent="0.25">
      <c r="A127" t="s">
        <v>52</v>
      </c>
      <c r="B127" s="3" cm="1">
        <f t="array" ref="B127:Q130">MMULT(B111:I114,B116:Q123)+B125:Q125</f>
        <v>2.8129597728333504</v>
      </c>
      <c r="C127" s="3">
        <v>1.0063028649573851</v>
      </c>
      <c r="D127" s="3">
        <v>-1.318127045077623</v>
      </c>
      <c r="E127" s="3">
        <v>0.58187793432641077</v>
      </c>
      <c r="F127" s="3">
        <v>-0.43267182220125333</v>
      </c>
      <c r="G127" s="3">
        <v>2.8009080538375115</v>
      </c>
      <c r="H127" s="3">
        <v>0.50095971727817434</v>
      </c>
      <c r="I127" s="3">
        <v>-1.6342099846426947</v>
      </c>
      <c r="J127" s="3">
        <v>0.34873707032801271</v>
      </c>
      <c r="K127" s="3">
        <v>0.90081905485482849</v>
      </c>
      <c r="L127" s="3">
        <v>1.1485237394984997</v>
      </c>
      <c r="M127" s="3">
        <v>2.17080990558786</v>
      </c>
      <c r="N127" s="3">
        <v>2.2363586161416849</v>
      </c>
      <c r="O127" s="3">
        <v>0.18964266199821739</v>
      </c>
      <c r="P127" s="3">
        <v>-0.67996284789377537</v>
      </c>
      <c r="Q127" s="3">
        <v>2.3302882047160489</v>
      </c>
    </row>
    <row r="128" spans="1:28" x14ac:dyDescent="0.25">
      <c r="B128" s="3">
        <v>1.314399858706828</v>
      </c>
      <c r="C128" s="3">
        <v>1.0504603000949309</v>
      </c>
      <c r="D128" s="3">
        <v>-1.3226128672096762</v>
      </c>
      <c r="E128" s="3">
        <v>0.5261281914580811</v>
      </c>
      <c r="F128" s="3">
        <v>-0.66529742825480487</v>
      </c>
      <c r="G128" s="3">
        <v>1.5099076687057376</v>
      </c>
      <c r="H128" s="3">
        <v>1.1574079334603993</v>
      </c>
      <c r="I128" s="3">
        <v>-1.9781283175141244</v>
      </c>
      <c r="J128" s="3">
        <v>-9.7291992324095466E-2</v>
      </c>
      <c r="K128" s="3">
        <v>0.98190849233017163</v>
      </c>
      <c r="L128" s="3">
        <v>1.1581538936008651</v>
      </c>
      <c r="M128" s="3">
        <v>0.86061125374755609</v>
      </c>
      <c r="N128" s="3">
        <v>1.2044384166856799</v>
      </c>
      <c r="O128" s="3">
        <v>-0.24680514017998395</v>
      </c>
      <c r="P128" s="3">
        <v>-0.59705659055894522</v>
      </c>
      <c r="Q128" s="3">
        <v>1.924390389014522</v>
      </c>
    </row>
    <row r="129" spans="1:28" x14ac:dyDescent="0.25">
      <c r="B129" s="3">
        <v>1.0322494614206421</v>
      </c>
      <c r="C129" s="3">
        <v>1.3395932594899134</v>
      </c>
      <c r="D129" s="3">
        <v>-0.1337861875900872</v>
      </c>
      <c r="E129" s="3">
        <v>-0.82660369291647373</v>
      </c>
      <c r="F129" s="3">
        <v>0.37093415419802633</v>
      </c>
      <c r="G129" s="3">
        <v>1.4539288450708072</v>
      </c>
      <c r="H129" s="3">
        <v>0.97656597115271104</v>
      </c>
      <c r="I129" s="3">
        <v>-0.70652681367869918</v>
      </c>
      <c r="J129" s="3">
        <v>0.50746472707297186</v>
      </c>
      <c r="K129" s="3">
        <v>0.99824643762807763</v>
      </c>
      <c r="L129" s="3">
        <v>-0.74539991624414359</v>
      </c>
      <c r="M129" s="3">
        <v>0.18614467486934153</v>
      </c>
      <c r="N129" s="3">
        <v>0.46522142506454967</v>
      </c>
      <c r="O129" s="3">
        <v>0.14176188923230731</v>
      </c>
      <c r="P129" s="3">
        <v>0.23074493224092896</v>
      </c>
      <c r="Q129" s="3">
        <v>2.0967550181992478</v>
      </c>
    </row>
    <row r="130" spans="1:28" x14ac:dyDescent="0.25">
      <c r="B130" s="3">
        <v>0.62258485326645407</v>
      </c>
      <c r="C130" s="3">
        <v>1.539131604459131</v>
      </c>
      <c r="D130" s="3">
        <v>-1.3278343758046702</v>
      </c>
      <c r="E130" s="3">
        <v>1.1630162403293904</v>
      </c>
      <c r="F130" s="3">
        <v>-2.2028471755134698</v>
      </c>
      <c r="G130" s="3">
        <v>1.5911118524239729</v>
      </c>
      <c r="H130" s="3">
        <v>0.6991800688192078</v>
      </c>
      <c r="I130" s="3">
        <v>-3.3688506609809536</v>
      </c>
      <c r="J130" s="3">
        <v>-0.30985417230161283</v>
      </c>
      <c r="K130" s="3">
        <v>1.2621957281963272</v>
      </c>
      <c r="L130" s="3">
        <v>1.8514874474812155</v>
      </c>
      <c r="M130" s="3">
        <v>0.48820499455007443</v>
      </c>
      <c r="N130" s="3">
        <v>1.5703115591718522</v>
      </c>
      <c r="O130" s="3">
        <v>-0.36409598821562011</v>
      </c>
      <c r="P130" s="3">
        <v>-2.1492201880877762</v>
      </c>
      <c r="Q130" s="3">
        <v>1.718606789089304</v>
      </c>
    </row>
    <row r="132" spans="1:28" x14ac:dyDescent="0.25">
      <c r="A132" t="s">
        <v>54</v>
      </c>
      <c r="B132" s="3">
        <f t="shared" ref="B132:Q132" si="18">MAX(0,B127)</f>
        <v>2.8129597728333504</v>
      </c>
      <c r="C132" s="3">
        <f t="shared" si="18"/>
        <v>1.0063028649573851</v>
      </c>
      <c r="D132" s="3">
        <f t="shared" si="18"/>
        <v>0</v>
      </c>
      <c r="E132" s="3">
        <f t="shared" si="18"/>
        <v>0.58187793432641077</v>
      </c>
      <c r="F132" s="3">
        <f t="shared" si="18"/>
        <v>0</v>
      </c>
      <c r="G132" s="3">
        <f t="shared" si="18"/>
        <v>2.8009080538375115</v>
      </c>
      <c r="H132" s="3">
        <f t="shared" si="18"/>
        <v>0.50095971727817434</v>
      </c>
      <c r="I132" s="3">
        <f t="shared" si="18"/>
        <v>0</v>
      </c>
      <c r="J132" s="3">
        <f t="shared" si="18"/>
        <v>0.34873707032801271</v>
      </c>
      <c r="K132" s="3">
        <f t="shared" si="18"/>
        <v>0.90081905485482849</v>
      </c>
      <c r="L132" s="3">
        <f t="shared" si="18"/>
        <v>1.1485237394984997</v>
      </c>
      <c r="M132" s="3">
        <f t="shared" si="18"/>
        <v>2.17080990558786</v>
      </c>
      <c r="N132" s="3">
        <f t="shared" si="18"/>
        <v>2.2363586161416849</v>
      </c>
      <c r="O132" s="3">
        <f t="shared" si="18"/>
        <v>0.18964266199821739</v>
      </c>
      <c r="P132" s="3">
        <f t="shared" si="18"/>
        <v>0</v>
      </c>
      <c r="Q132" s="3">
        <f t="shared" si="18"/>
        <v>2.3302882047160489</v>
      </c>
    </row>
    <row r="133" spans="1:28" x14ac:dyDescent="0.25">
      <c r="A133" t="s">
        <v>65</v>
      </c>
      <c r="B133" s="3">
        <f t="shared" ref="B133:Q133" si="19">MAX(0,B128)</f>
        <v>1.314399858706828</v>
      </c>
      <c r="C133" s="3">
        <f t="shared" si="19"/>
        <v>1.0504603000949309</v>
      </c>
      <c r="D133" s="3">
        <f t="shared" si="19"/>
        <v>0</v>
      </c>
      <c r="E133" s="3">
        <f t="shared" si="19"/>
        <v>0.5261281914580811</v>
      </c>
      <c r="F133" s="3">
        <f t="shared" si="19"/>
        <v>0</v>
      </c>
      <c r="G133" s="3">
        <f t="shared" si="19"/>
        <v>1.5099076687057376</v>
      </c>
      <c r="H133" s="3">
        <f t="shared" si="19"/>
        <v>1.1574079334603993</v>
      </c>
      <c r="I133" s="3">
        <f t="shared" si="19"/>
        <v>0</v>
      </c>
      <c r="J133" s="3">
        <f t="shared" si="19"/>
        <v>0</v>
      </c>
      <c r="K133" s="3">
        <f t="shared" si="19"/>
        <v>0.98190849233017163</v>
      </c>
      <c r="L133" s="3">
        <f t="shared" si="19"/>
        <v>1.1581538936008651</v>
      </c>
      <c r="M133" s="3">
        <f t="shared" si="19"/>
        <v>0.86061125374755609</v>
      </c>
      <c r="N133" s="3">
        <f t="shared" si="19"/>
        <v>1.2044384166856799</v>
      </c>
      <c r="O133" s="3">
        <f t="shared" si="19"/>
        <v>0</v>
      </c>
      <c r="P133" s="3">
        <f t="shared" si="19"/>
        <v>0</v>
      </c>
      <c r="Q133" s="3">
        <f t="shared" si="19"/>
        <v>1.924390389014522</v>
      </c>
    </row>
    <row r="134" spans="1:28" x14ac:dyDescent="0.25">
      <c r="B134" s="3">
        <f t="shared" ref="B134:Q134" si="20">MAX(0,B129)</f>
        <v>1.0322494614206421</v>
      </c>
      <c r="C134" s="3">
        <f t="shared" si="20"/>
        <v>1.3395932594899134</v>
      </c>
      <c r="D134" s="3">
        <f t="shared" si="20"/>
        <v>0</v>
      </c>
      <c r="E134" s="3">
        <f t="shared" si="20"/>
        <v>0</v>
      </c>
      <c r="F134" s="3">
        <f t="shared" si="20"/>
        <v>0.37093415419802633</v>
      </c>
      <c r="G134" s="3">
        <f t="shared" si="20"/>
        <v>1.4539288450708072</v>
      </c>
      <c r="H134" s="3">
        <f t="shared" si="20"/>
        <v>0.97656597115271104</v>
      </c>
      <c r="I134" s="3">
        <f t="shared" si="20"/>
        <v>0</v>
      </c>
      <c r="J134" s="3">
        <f t="shared" si="20"/>
        <v>0.50746472707297186</v>
      </c>
      <c r="K134" s="3">
        <f t="shared" si="20"/>
        <v>0.99824643762807763</v>
      </c>
      <c r="L134" s="3">
        <f t="shared" si="20"/>
        <v>0</v>
      </c>
      <c r="M134" s="3">
        <f t="shared" si="20"/>
        <v>0.18614467486934153</v>
      </c>
      <c r="N134" s="3">
        <f t="shared" si="20"/>
        <v>0.46522142506454967</v>
      </c>
      <c r="O134" s="3">
        <f t="shared" si="20"/>
        <v>0.14176188923230731</v>
      </c>
      <c r="P134" s="3">
        <f t="shared" si="20"/>
        <v>0.23074493224092896</v>
      </c>
      <c r="Q134" s="3">
        <f t="shared" si="20"/>
        <v>2.0967550181992478</v>
      </c>
    </row>
    <row r="135" spans="1:28" x14ac:dyDescent="0.25">
      <c r="B135" s="3">
        <f t="shared" ref="B135:Q135" si="21">MAX(0,B130)</f>
        <v>0.62258485326645407</v>
      </c>
      <c r="C135" s="3">
        <f t="shared" si="21"/>
        <v>1.539131604459131</v>
      </c>
      <c r="D135" s="3">
        <f t="shared" si="21"/>
        <v>0</v>
      </c>
      <c r="E135" s="3">
        <f t="shared" si="21"/>
        <v>1.1630162403293904</v>
      </c>
      <c r="F135" s="3">
        <f t="shared" si="21"/>
        <v>0</v>
      </c>
      <c r="G135" s="3">
        <f t="shared" si="21"/>
        <v>1.5911118524239729</v>
      </c>
      <c r="H135" s="3">
        <f t="shared" si="21"/>
        <v>0.6991800688192078</v>
      </c>
      <c r="I135" s="3">
        <f t="shared" si="21"/>
        <v>0</v>
      </c>
      <c r="J135" s="3">
        <f t="shared" si="21"/>
        <v>0</v>
      </c>
      <c r="K135" s="3">
        <f t="shared" si="21"/>
        <v>1.2621957281963272</v>
      </c>
      <c r="L135" s="3">
        <f t="shared" si="21"/>
        <v>1.8514874474812155</v>
      </c>
      <c r="M135" s="3">
        <f t="shared" si="21"/>
        <v>0.48820499455007443</v>
      </c>
      <c r="N135" s="3">
        <f t="shared" si="21"/>
        <v>1.5703115591718522</v>
      </c>
      <c r="O135" s="3">
        <f t="shared" si="21"/>
        <v>0</v>
      </c>
      <c r="P135" s="3">
        <f t="shared" si="21"/>
        <v>0</v>
      </c>
      <c r="Q135" s="3">
        <f t="shared" si="21"/>
        <v>1.718606789089304</v>
      </c>
    </row>
    <row r="137" spans="1:28" x14ac:dyDescent="0.25">
      <c r="A137" t="s">
        <v>53</v>
      </c>
      <c r="B137" s="3" cm="1">
        <f t="array" ref="B137:I140">MMULT(B132:Q135,U108:AB123)+U125:AB125</f>
        <v>2.2604590627412096</v>
      </c>
      <c r="C137" s="3">
        <v>1.3640309031205922</v>
      </c>
      <c r="D137" s="3">
        <v>2.0163258276871483</v>
      </c>
      <c r="E137" s="3">
        <v>1.5164876794571356</v>
      </c>
      <c r="F137" s="3">
        <v>-2.8700598827651311</v>
      </c>
      <c r="G137" s="3">
        <v>-3.4673781848931444</v>
      </c>
      <c r="H137" s="3">
        <v>-3.2701257718809917</v>
      </c>
      <c r="I137" s="3">
        <v>0.45961216461215226</v>
      </c>
    </row>
    <row r="138" spans="1:28" x14ac:dyDescent="0.25">
      <c r="B138" s="3">
        <v>0.79852444327632255</v>
      </c>
      <c r="C138" s="3">
        <v>0.31271774621321063</v>
      </c>
      <c r="D138" s="3">
        <v>0.57202494481148747</v>
      </c>
      <c r="E138" s="3">
        <v>0.57404523649165207</v>
      </c>
      <c r="F138" s="3">
        <v>-0.20985083374616464</v>
      </c>
      <c r="G138" s="3">
        <v>-2.4356884255335833</v>
      </c>
      <c r="H138" s="3">
        <v>-1.7283766270658663</v>
      </c>
      <c r="I138" s="3">
        <v>1.3602731666889927</v>
      </c>
      <c r="K138" t="s">
        <v>66</v>
      </c>
      <c r="L138" s="3">
        <v>1.8542363643599999</v>
      </c>
      <c r="M138" s="3">
        <v>1.88841986656</v>
      </c>
      <c r="N138" s="3">
        <v>2.0606608390800001</v>
      </c>
      <c r="O138" s="3">
        <v>1.85600936413</v>
      </c>
      <c r="P138" s="3">
        <v>2.1467628478999998</v>
      </c>
      <c r="Q138" s="3">
        <v>2.2688224315599999</v>
      </c>
      <c r="R138" s="3">
        <v>2.21198487282</v>
      </c>
      <c r="S138" s="3">
        <v>2.0330073833500002</v>
      </c>
    </row>
    <row r="139" spans="1:28" x14ac:dyDescent="0.25">
      <c r="B139" s="3">
        <v>1.2305904990818428</v>
      </c>
      <c r="C139" s="3">
        <v>1.2377136699657705</v>
      </c>
      <c r="D139" s="3">
        <v>0.31528475956680768</v>
      </c>
      <c r="E139" s="3">
        <v>0.18320122851522838</v>
      </c>
      <c r="F139" s="3">
        <v>-6.1371827288265846E-2</v>
      </c>
      <c r="G139" s="3">
        <v>-0.72727828747696166</v>
      </c>
      <c r="H139" s="3">
        <v>-1.9821452753297168</v>
      </c>
      <c r="I139" s="3">
        <v>9.3733805234917117E-2</v>
      </c>
      <c r="K139" t="s">
        <v>67</v>
      </c>
      <c r="L139" s="3">
        <v>-0.52721828222300005</v>
      </c>
      <c r="M139" s="3">
        <v>0.202693641186</v>
      </c>
      <c r="N139" s="3">
        <v>0.14386847615199999</v>
      </c>
      <c r="O139" s="3">
        <v>-1.7827283591000002E-2</v>
      </c>
      <c r="P139" s="3">
        <v>0.48476999998100001</v>
      </c>
      <c r="Q139" s="3">
        <v>0.71327817439999996</v>
      </c>
      <c r="R139" s="3">
        <v>-5.2705537527800002E-2</v>
      </c>
      <c r="S139" s="3">
        <v>-0.15976443886800001</v>
      </c>
    </row>
    <row r="140" spans="1:28" x14ac:dyDescent="0.25">
      <c r="B140" s="3">
        <v>-0.33023270476064404</v>
      </c>
      <c r="C140" s="3">
        <v>-0.19530243346307063</v>
      </c>
      <c r="D140" s="3">
        <v>9.2423460823575998E-2</v>
      </c>
      <c r="E140" s="3">
        <v>-0.56447047557189145</v>
      </c>
      <c r="F140" s="3">
        <v>-0.36243080407132044</v>
      </c>
      <c r="G140" s="3">
        <v>-1.7833527553311899</v>
      </c>
      <c r="H140" s="3">
        <v>-0.67413444116624555</v>
      </c>
      <c r="I140" s="3">
        <v>1.9497165102585727</v>
      </c>
    </row>
    <row r="141" spans="1:28" x14ac:dyDescent="0.25">
      <c r="B141" s="3"/>
      <c r="C141" s="3"/>
      <c r="D141" s="3"/>
      <c r="E141" s="3"/>
      <c r="F141" s="3"/>
      <c r="G141" s="3"/>
      <c r="H141" s="3"/>
      <c r="I141" s="3"/>
      <c r="Q141" t="s">
        <v>68</v>
      </c>
    </row>
    <row r="142" spans="1:28" x14ac:dyDescent="0.25">
      <c r="A142" t="s">
        <v>49</v>
      </c>
      <c r="B142" s="3">
        <f t="shared" ref="B142:I145" si="22">B137+B111</f>
        <v>3.7353460783986856</v>
      </c>
      <c r="C142" s="3">
        <f t="shared" si="22"/>
        <v>2.0621121416860344</v>
      </c>
      <c r="D142" s="3">
        <f t="shared" si="22"/>
        <v>1.036588420520705</v>
      </c>
      <c r="E142" s="3">
        <f t="shared" si="22"/>
        <v>0.43446366880565068</v>
      </c>
      <c r="F142" s="3">
        <f t="shared" si="22"/>
        <v>-2.5308332659896982</v>
      </c>
      <c r="G142" s="3">
        <f t="shared" si="22"/>
        <v>-2.8476114035900046</v>
      </c>
      <c r="H142" s="3">
        <f t="shared" si="22"/>
        <v>-3.0266992101984713</v>
      </c>
      <c r="I142" s="3">
        <f t="shared" si="22"/>
        <v>-1.4974424662739365</v>
      </c>
      <c r="Q142" s="3">
        <v>0.43300300836599998</v>
      </c>
      <c r="R142" s="3">
        <v>1.1560232639300001</v>
      </c>
      <c r="S142" s="3">
        <v>0.82823258638399999</v>
      </c>
      <c r="T142" s="3">
        <v>-0.38411110639599999</v>
      </c>
      <c r="U142" s="3">
        <v>0.12309346348</v>
      </c>
      <c r="V142" s="3">
        <v>0.32866168022199999</v>
      </c>
      <c r="W142" s="3">
        <v>0.51148098707199996</v>
      </c>
      <c r="X142" s="3">
        <v>-2.0174082368600001E-2</v>
      </c>
      <c r="Y142" s="3">
        <v>-0.97260677814499996</v>
      </c>
      <c r="Z142" s="3">
        <v>-1.11262500286</v>
      </c>
      <c r="AA142" s="3">
        <v>-0.54368078708599998</v>
      </c>
      <c r="AB142" s="3">
        <v>3.6233592778399999E-2</v>
      </c>
    </row>
    <row r="143" spans="1:28" x14ac:dyDescent="0.25">
      <c r="A143" t="s">
        <v>50</v>
      </c>
      <c r="B143" s="3">
        <f t="shared" si="22"/>
        <v>0.79881532184492321</v>
      </c>
      <c r="C143" s="3">
        <f t="shared" si="22"/>
        <v>1.0892248506876179</v>
      </c>
      <c r="D143" s="3">
        <f t="shared" si="22"/>
        <v>-0.67585511131405684</v>
      </c>
      <c r="E143" s="3">
        <f t="shared" si="22"/>
        <v>0.15649957360538636</v>
      </c>
      <c r="F143" s="3">
        <f t="shared" si="22"/>
        <v>-0.54814094267516444</v>
      </c>
      <c r="G143" s="3">
        <f t="shared" si="22"/>
        <v>-0.63782314373781523</v>
      </c>
      <c r="H143" s="3">
        <f t="shared" si="22"/>
        <v>-1.6725376446728719</v>
      </c>
      <c r="I143" s="3">
        <f t="shared" si="22"/>
        <v>0.28770935082122229</v>
      </c>
      <c r="Q143" s="3">
        <v>-0.103445984423</v>
      </c>
      <c r="R143" s="3">
        <v>0.11548217386</v>
      </c>
      <c r="S143" s="3">
        <v>-0.29385617375400003</v>
      </c>
      <c r="T143" s="3">
        <v>-5.3319964557900001E-2</v>
      </c>
      <c r="U143" s="3">
        <v>0.57763189077400001</v>
      </c>
      <c r="V143" s="3">
        <v>-0.26002016663600003</v>
      </c>
      <c r="W143" s="3">
        <v>-0.38318929076199998</v>
      </c>
      <c r="X143" s="3">
        <v>0.95060122013100001</v>
      </c>
      <c r="Y143" s="3">
        <v>-0.52182805538199994</v>
      </c>
      <c r="Z143" s="3">
        <v>-1.26192975044</v>
      </c>
      <c r="AA143" s="3">
        <v>-0.88252240419399997</v>
      </c>
      <c r="AB143" s="3">
        <v>0.67330741882300005</v>
      </c>
    </row>
    <row r="144" spans="1:28" x14ac:dyDescent="0.25">
      <c r="B144" s="3">
        <f t="shared" si="22"/>
        <v>1.7490364984695612</v>
      </c>
      <c r="C144" s="3">
        <f t="shared" si="22"/>
        <v>2.8957035918429685</v>
      </c>
      <c r="D144" s="3">
        <f t="shared" si="22"/>
        <v>-0.43306950128808563</v>
      </c>
      <c r="E144" s="3">
        <f t="shared" si="22"/>
        <v>-0.9288967425569451</v>
      </c>
      <c r="F144" s="3">
        <f t="shared" si="22"/>
        <v>-0.79033772959138893</v>
      </c>
      <c r="G144" s="3">
        <f t="shared" si="22"/>
        <v>-0.61983042190130277</v>
      </c>
      <c r="H144" s="3">
        <f t="shared" si="22"/>
        <v>-1.5044205767698489</v>
      </c>
      <c r="I144" s="3">
        <f t="shared" si="22"/>
        <v>-0.62892477235893729</v>
      </c>
      <c r="Q144" s="3">
        <v>0.136717244983</v>
      </c>
      <c r="R144" s="3">
        <v>-0.42519152164500001</v>
      </c>
      <c r="S144" s="3">
        <v>-1.0097237825400001</v>
      </c>
      <c r="T144" s="3">
        <v>-0.71049821376800004</v>
      </c>
      <c r="U144" s="3">
        <v>-0.30527037382099997</v>
      </c>
      <c r="V144" s="3">
        <v>0.117940455675</v>
      </c>
      <c r="W144" s="3">
        <v>0.171443387866</v>
      </c>
      <c r="X144" s="3">
        <v>0.60560846328700002</v>
      </c>
      <c r="Y144" s="3">
        <v>1.13452661037</v>
      </c>
      <c r="Z144" s="3">
        <v>0.887691438198</v>
      </c>
      <c r="AA144" s="3">
        <v>1.2467421293300001</v>
      </c>
      <c r="AB144" s="3">
        <v>4.0810264647000001E-2</v>
      </c>
    </row>
    <row r="145" spans="1:28" x14ac:dyDescent="0.25">
      <c r="B145" s="3">
        <f t="shared" si="22"/>
        <v>-3.7126716771282819E-2</v>
      </c>
      <c r="C145" s="3">
        <f t="shared" si="22"/>
        <v>-0.37912180149758112</v>
      </c>
      <c r="D145" s="3">
        <f t="shared" si="22"/>
        <v>-0.60028844584534635</v>
      </c>
      <c r="E145" s="3">
        <f t="shared" si="22"/>
        <v>-0.46216087288284624</v>
      </c>
      <c r="F145" s="3">
        <f t="shared" si="22"/>
        <v>-0.51765137546180773</v>
      </c>
      <c r="G145" s="3">
        <f t="shared" si="22"/>
        <v>-0.111992367181178</v>
      </c>
      <c r="H145" s="3">
        <f t="shared" si="22"/>
        <v>-0.10250814119551188</v>
      </c>
      <c r="I145" s="3">
        <f t="shared" si="22"/>
        <v>-5.1107058368329294E-2</v>
      </c>
      <c r="Q145" s="3">
        <v>-4.0659718215499997E-2</v>
      </c>
      <c r="R145" s="3">
        <v>0.32341328263300001</v>
      </c>
      <c r="S145" s="3">
        <v>-0.504239916801</v>
      </c>
      <c r="T145" s="3">
        <v>0.37210601568200002</v>
      </c>
      <c r="U145" s="3">
        <v>1.1351214647300001</v>
      </c>
      <c r="V145" s="3">
        <v>3.7188787013300001E-2</v>
      </c>
      <c r="W145" s="3">
        <v>0.101841770113</v>
      </c>
      <c r="X145" s="3">
        <v>0.97622084617600002</v>
      </c>
      <c r="Y145" s="3">
        <v>-4.94070798159E-2</v>
      </c>
      <c r="Z145" s="3">
        <v>1.0206823349</v>
      </c>
      <c r="AA145" s="3">
        <v>-1.01401746273</v>
      </c>
      <c r="AB145" s="3">
        <v>-0.59111571312</v>
      </c>
    </row>
    <row r="146" spans="1:28" x14ac:dyDescent="0.25">
      <c r="B146" s="3"/>
      <c r="C146" s="3"/>
      <c r="D146" s="3"/>
      <c r="E146" s="3"/>
      <c r="F146" s="3"/>
      <c r="G146" s="3"/>
      <c r="H146" s="3"/>
      <c r="I146" s="3"/>
      <c r="Q146" s="3">
        <v>-0.13062041997900001</v>
      </c>
      <c r="R146" s="3">
        <v>-1.1979299783699999</v>
      </c>
      <c r="S146" s="3">
        <v>-0.92054527998000002</v>
      </c>
      <c r="T146" s="3">
        <v>1.08222615719</v>
      </c>
      <c r="U146" s="3">
        <v>0.85252505540800005</v>
      </c>
      <c r="V146" s="3">
        <v>-0.32034859061199999</v>
      </c>
      <c r="W146" s="3">
        <v>-6.08256310225E-2</v>
      </c>
      <c r="X146" s="3">
        <v>-1.2935907840700001</v>
      </c>
      <c r="Y146" s="3">
        <v>-1.3052747249600001</v>
      </c>
      <c r="Z146" s="3">
        <v>8.1501141190500004E-2</v>
      </c>
      <c r="AA146" s="3">
        <v>0.70690673589700004</v>
      </c>
      <c r="AB146" s="3">
        <v>0.31626778840999997</v>
      </c>
    </row>
    <row r="147" spans="1:28" x14ac:dyDescent="0.25">
      <c r="A147" t="s">
        <v>51</v>
      </c>
      <c r="B147" s="3">
        <f t="shared" ref="B147:I150" si="23">(B142-AVERAGE($B142:$I142))/SQRT(VARP($B142:$I142)+0.00001)*L$138+L$139</f>
        <v>2.6676914711914494</v>
      </c>
      <c r="C147" s="3">
        <f t="shared" si="23"/>
        <v>2.1170409324408483</v>
      </c>
      <c r="D147" s="3">
        <f t="shared" si="23"/>
        <v>1.3369880122196076</v>
      </c>
      <c r="E147" s="3">
        <f t="shared" si="23"/>
        <v>0.58305752342382311</v>
      </c>
      <c r="F147" s="3">
        <f t="shared" si="23"/>
        <v>-1.5187440999249369</v>
      </c>
      <c r="G147" s="3">
        <f t="shared" si="23"/>
        <v>-1.7088215195992964</v>
      </c>
      <c r="H147" s="3">
        <f t="shared" si="23"/>
        <v>-2.5820558936171634</v>
      </c>
      <c r="I147" s="3">
        <f t="shared" si="23"/>
        <v>-1.1665220355136932</v>
      </c>
      <c r="Q147" s="3">
        <v>-0.64048558473600004</v>
      </c>
      <c r="R147" s="3">
        <v>-0.76319271326100002</v>
      </c>
      <c r="S147" s="3">
        <v>0.55021500587500005</v>
      </c>
      <c r="T147" s="3">
        <v>0.53897112607999997</v>
      </c>
      <c r="U147" s="3">
        <v>-0.19261512160300001</v>
      </c>
      <c r="V147" s="3">
        <v>-0.17236490547700001</v>
      </c>
      <c r="W147" s="3">
        <v>-0.58318549394600006</v>
      </c>
      <c r="X147" s="3">
        <v>0.29908281564700001</v>
      </c>
      <c r="Y147" s="3">
        <v>0.61283612251300001</v>
      </c>
      <c r="Z147" s="3">
        <v>-0.72252184152599996</v>
      </c>
      <c r="AA147" s="3">
        <v>3.1384341418700001E-2</v>
      </c>
      <c r="AB147" s="3">
        <v>0.72718983888599997</v>
      </c>
    </row>
    <row r="148" spans="1:28" x14ac:dyDescent="0.25">
      <c r="B148" s="3">
        <f t="shared" si="23"/>
        <v>1.5553186873861384</v>
      </c>
      <c r="C148" s="3">
        <f t="shared" si="23"/>
        <v>2.9726080971937239</v>
      </c>
      <c r="D148" s="3">
        <f t="shared" si="23"/>
        <v>-1.1378136477855547</v>
      </c>
      <c r="E148" s="3">
        <f t="shared" si="23"/>
        <v>0.65593788622132121</v>
      </c>
      <c r="F148" s="3">
        <f t="shared" si="23"/>
        <v>-0.52601498348268971</v>
      </c>
      <c r="G148" s="3">
        <f t="shared" si="23"/>
        <v>-0.59576401770684051</v>
      </c>
      <c r="H148" s="3">
        <f t="shared" si="23"/>
        <v>-4.0374492196108083</v>
      </c>
      <c r="I148" s="3">
        <f t="shared" si="23"/>
        <v>0.89392219845390697</v>
      </c>
      <c r="Q148" s="3">
        <v>0.31438735127400003</v>
      </c>
      <c r="R148" s="3">
        <v>-1.1410030126599999</v>
      </c>
      <c r="S148" s="3">
        <v>0.31230056285899999</v>
      </c>
      <c r="T148" s="3">
        <v>0.63550692796700003</v>
      </c>
      <c r="U148" s="3">
        <v>-0.42698460817299999</v>
      </c>
      <c r="V148" s="3">
        <v>0.19918301701499999</v>
      </c>
      <c r="W148" s="3">
        <v>0.12337114661900001</v>
      </c>
      <c r="X148" s="3">
        <v>-0.12214861065099999</v>
      </c>
      <c r="Y148" s="3">
        <v>0.83101487159700005</v>
      </c>
      <c r="Z148" s="3">
        <v>0.62139075994500004</v>
      </c>
      <c r="AA148" s="3">
        <v>-0.47735872864700002</v>
      </c>
      <c r="AB148" s="3">
        <v>-1.21413397789</v>
      </c>
    </row>
    <row r="149" spans="1:28" x14ac:dyDescent="0.25">
      <c r="B149" s="3">
        <f t="shared" si="23"/>
        <v>1.7976010157347071</v>
      </c>
      <c r="C149" s="3">
        <f t="shared" si="23"/>
        <v>4.0942236861515902</v>
      </c>
      <c r="D149" s="3">
        <f t="shared" si="23"/>
        <v>-0.43688389377935805</v>
      </c>
      <c r="E149" s="3">
        <f t="shared" si="23"/>
        <v>-1.188518828600917</v>
      </c>
      <c r="F149" s="3">
        <f t="shared" si="23"/>
        <v>-0.6599892255109554</v>
      </c>
      <c r="G149" s="3">
        <f t="shared" si="23"/>
        <v>-0.22433020102983403</v>
      </c>
      <c r="H149" s="3">
        <f t="shared" si="23"/>
        <v>-2.343816347351841</v>
      </c>
      <c r="I149" s="3">
        <f t="shared" si="23"/>
        <v>-1.0129316301884044</v>
      </c>
      <c r="Q149" s="3">
        <v>0.36041307449299997</v>
      </c>
      <c r="R149" s="3">
        <v>0.50186103582399999</v>
      </c>
      <c r="S149" s="3">
        <v>0.70489597320599995</v>
      </c>
      <c r="T149" s="3">
        <v>0.1745287925</v>
      </c>
      <c r="U149" s="3">
        <v>-1.04408121109</v>
      </c>
      <c r="V149" s="3">
        <v>0.34930819273000002</v>
      </c>
      <c r="W149" s="3">
        <v>0.250530689955</v>
      </c>
      <c r="X149" s="3">
        <v>-1.17191696167</v>
      </c>
      <c r="Y149" s="3">
        <v>-0.35219004750299998</v>
      </c>
      <c r="Z149" s="3">
        <v>0.98393213748899999</v>
      </c>
      <c r="AA149" s="3">
        <v>0.92684048414200004</v>
      </c>
      <c r="AB149" s="3">
        <v>0.47500610351599998</v>
      </c>
    </row>
    <row r="150" spans="1:28" x14ac:dyDescent="0.25">
      <c r="B150" s="3">
        <f t="shared" si="23"/>
        <v>1.5814072059744508</v>
      </c>
      <c r="C150" s="3">
        <f t="shared" si="23"/>
        <v>-0.63995643051398698</v>
      </c>
      <c r="D150" s="3">
        <f t="shared" si="23"/>
        <v>-2.8857266946904128</v>
      </c>
      <c r="E150" s="3">
        <f t="shared" si="23"/>
        <v>-1.5595858781036815</v>
      </c>
      <c r="F150" s="3">
        <f t="shared" si="23"/>
        <v>-1.8500531842555412</v>
      </c>
      <c r="G150" s="3">
        <f t="shared" si="23"/>
        <v>2.50694291210054</v>
      </c>
      <c r="H150" s="3">
        <f t="shared" si="23"/>
        <v>1.7931562127949334</v>
      </c>
      <c r="I150" s="3">
        <f t="shared" si="23"/>
        <v>2.0205657912533721</v>
      </c>
    </row>
    <row r="151" spans="1:28" x14ac:dyDescent="0.25">
      <c r="P151" t="s">
        <v>59</v>
      </c>
      <c r="Q151" s="3">
        <v>-0.68481963872899998</v>
      </c>
      <c r="R151" s="3">
        <v>-0.32243567705199999</v>
      </c>
      <c r="S151" s="3">
        <v>-0.21820257604099999</v>
      </c>
      <c r="T151" s="3">
        <v>-8.4530010819399995E-2</v>
      </c>
      <c r="U151" s="3">
        <v>-0.18123579025299999</v>
      </c>
      <c r="V151" s="3">
        <v>-0.13945221900900001</v>
      </c>
      <c r="W151" s="3">
        <v>-0.30324152112000002</v>
      </c>
      <c r="X151" s="3">
        <v>-0.19228015840099999</v>
      </c>
      <c r="Y151" s="3">
        <v>-2.1524548530599999E-2</v>
      </c>
      <c r="Z151" s="3">
        <v>0.67395758628799995</v>
      </c>
      <c r="AA151" s="3">
        <v>0.33715814352000001</v>
      </c>
      <c r="AB151" s="3">
        <v>0.31506907939899997</v>
      </c>
    </row>
    <row r="152" spans="1:28" x14ac:dyDescent="0.25">
      <c r="B152" t="s">
        <v>2</v>
      </c>
      <c r="C152" t="s">
        <v>3</v>
      </c>
      <c r="D152" t="s">
        <v>4</v>
      </c>
      <c r="E152" t="s">
        <v>5</v>
      </c>
      <c r="F152" t="s">
        <v>6</v>
      </c>
      <c r="G152" t="s">
        <v>7</v>
      </c>
      <c r="H152" t="s">
        <v>8</v>
      </c>
      <c r="I152" t="s">
        <v>9</v>
      </c>
      <c r="J152" t="s">
        <v>10</v>
      </c>
      <c r="K152" t="s">
        <v>11</v>
      </c>
      <c r="L152" t="s">
        <v>12</v>
      </c>
      <c r="M152" t="s">
        <v>13</v>
      </c>
    </row>
    <row r="153" spans="1:28" x14ac:dyDescent="0.25">
      <c r="A153" t="s">
        <v>55</v>
      </c>
      <c r="B153" s="3">
        <f>B147*Q142+C147*Q143+D147*Q144+E147*Q145+F147*Q146+G147*Q147+H147*Q148+I147*Q149+Q$151</f>
        <v>0.47104080921300628</v>
      </c>
      <c r="C153" s="3">
        <f>B147*R142+C147*R143+D147*R144+E147*R145+F147*R146+G147*R147+H147*R148+I147*R149+R$151</f>
        <v>8.1102616091531061</v>
      </c>
      <c r="D153" s="3">
        <f>B147*S142+C147*S143+D147*S144+E147*S145+F147*S146+G147*S147+H147*S148+I147*S149+S$151</f>
        <v>-1.4456293114416663</v>
      </c>
      <c r="E153" s="3">
        <f>B147*T142+C147*T143+D147*T144+E147*T145+F147*T146+G147*T147+H147*T148+I147*T149+T$151</f>
        <v>-6.3642050041633933</v>
      </c>
      <c r="F153" s="3">
        <f>B147*U142+C147*U143+D147*U144+E147*U145+F147*U146+G147*U147+H147*U148+I147*U149+U$151</f>
        <v>2.9785275592855731</v>
      </c>
      <c r="G153" s="3">
        <f>B147*V142+C147*V143+D147*V144+E147*V145+F147*V146+G147*V147+H147*V148+I147*V149+V$151</f>
        <v>0.22550158826348499</v>
      </c>
      <c r="H153" s="3">
        <f>B147*W142+C147*W143+D147*W144+E147*W145+F147*W146+G147*W147+H147*W148+I147*W149+W$151</f>
        <v>1.0167396205446195</v>
      </c>
      <c r="I153" s="3">
        <f>B147*X142+C147*X143+D147*X144+E147*X145+F147*X146+G147*X147+H147*X148+I147*X149+X$151</f>
        <v>6.2812631910827745</v>
      </c>
      <c r="J153" s="3">
        <f>B147*Y142+C147*Y143+D147*Y144+E147*Y145+F147*Y146+G147*Y147+H147*Y148+I147*Y149+Y$151</f>
        <v>-3.0325680629524814</v>
      </c>
      <c r="K153" s="3">
        <f>B147*Z142+C147*Z143+D147*Z144+E147*Z145+F147*Z146+G147*Z147+H147*Z148+I147*Z149+Z$151</f>
        <v>-4.8251529541387033</v>
      </c>
      <c r="L153" s="3">
        <f>B147*AA142+C147*AA143+D147*AA144+E147*AA145+F147*AA146+G147*AA147+H147*AA148+I147*AA149+AA$151</f>
        <v>-2.8817553398200175</v>
      </c>
      <c r="M153" s="3">
        <f>B147*AB142+C147*AB143+D147*AB144+E147*AB145+F147*AB146+G147*AB147+H147*AB148+I147*AB149+AB$151</f>
        <v>2.4049460857793163</v>
      </c>
    </row>
    <row r="154" spans="1:28" x14ac:dyDescent="0.25">
      <c r="A154" t="s">
        <v>56</v>
      </c>
      <c r="B154" s="3">
        <f>B148*Q142+C148*Q143+D148*Q144+E148*Q145+F148*Q146+G148*Q147+H148*Q148+I148*Q149+Q$151</f>
        <v>-0.9979504907418737</v>
      </c>
      <c r="C154" s="3">
        <f>B148*R142+C148*R143+D148*R144+E148*R145+F148*R146+G148*R147+H148*R148+I148*R149+R$151</f>
        <v>8.6549382131483075</v>
      </c>
      <c r="D154" s="3">
        <f>B148*S142+C148*S143+D148*S144+E148*S145+F148*S146+G148*S147+H148*S148+I148*S149+S$151</f>
        <v>0.54021803863707885</v>
      </c>
      <c r="E154" s="3">
        <f>B148*T142+C148*T143+D148*T144+E148*T145+F148*T146+G148*T147+H148*T148+I148*T149+T$151</f>
        <v>-3.0881301194801365</v>
      </c>
      <c r="F154" s="3">
        <f>B148*U142+C148*U143+D148*U144+E148*U145+F148*U146+G148*U147+H148*U148+I148*U149+U$151</f>
        <v>3.2761104885324102</v>
      </c>
      <c r="G154" s="3">
        <f>B148*V142+C148*V143+D148*V144+E148*V145+F148*V146+G148*V147+H148*V148+I148*V149+V$151</f>
        <v>-0.73175734628191846</v>
      </c>
      <c r="H154" s="3">
        <f>B148*W142+C148*W143+D148*W144+E148*W145+F148*W146+G148*W147+H148*W148+I148*W149+W$151</f>
        <v>-0.6697795915362027</v>
      </c>
      <c r="I154" s="3">
        <f>B148*X142+C148*X143+D148*X144+E148*X145+F148*X146+G148*X147+H148*X148+I148*X149+X$151</f>
        <v>2.5012098430443475</v>
      </c>
      <c r="J154" s="3">
        <f>B148*Y142+C148*Y143+D148*Y144+E148*Y145+F148*Y146+G148*Y147+H148*Y148+I148*Y149+Y$151</f>
        <v>-7.7572386793887818</v>
      </c>
      <c r="K154" s="3">
        <f>B148*Z142+C148*Z143+D148*Z144+E148*Z145+F148*Z146+G148*Z147+H148*Z148+I148*Z149+Z$151</f>
        <v>-6.3899678526954915</v>
      </c>
      <c r="L154" s="3">
        <f>B148*AA142+C148*AA143+D148*AA144+E148*AA145+F148*AA146+G148*AA147+H148*AA148+I148*AA149+AA$151</f>
        <v>-2.8502309570779492</v>
      </c>
      <c r="M154" s="3">
        <f>B148*AB142+C148*AB143+D148*AB144+E148*AB145+F148*AB146+G148*AB147+H148*AB148+I148*AB149+AB$151</f>
        <v>6.6657609273130891</v>
      </c>
    </row>
    <row r="155" spans="1:28" x14ac:dyDescent="0.25">
      <c r="B155" s="3">
        <f>B149*Q142+C149*Q143+D149*Q144+E149*Q145+F149*Q146+G149*Q147+H149*Q148+I149*Q149+Q$151</f>
        <v>-1.2134403990119023</v>
      </c>
      <c r="C155" s="3">
        <f>B149*R142+C149*R143+D149*R144+E149*R145+F149*R146+G149*R147+H149*R148+I149*R149+R$151</f>
        <v>5.157597969432774</v>
      </c>
      <c r="D155" s="3">
        <f>B149*S142+C149*S143+D149*S144+E149*S145+F149*S146+G149*S147+H149*S148+I149*S149+S$151</f>
        <v>0.14608048034509816</v>
      </c>
      <c r="E155" s="3">
        <f>B149*T142+C149*T143+D149*T144+E149*T145+F149*T146+G149*T147+H149*T148+I149*T149+T$151</f>
        <v>-3.6266245326896018</v>
      </c>
      <c r="F155" s="3">
        <f>B149*U142+C149*U143+D149*U144+E149*U145+F149*U146+G149*U147+H149*U148+I149*U149+U$151</f>
        <v>2.728154215607284</v>
      </c>
      <c r="G155" s="3">
        <f>B149*V142+C149*V143+D149*V144+E149*V145+F149*V146+G149*V147+H149*V148+I149*V149+V$151</f>
        <v>-1.2795366894016913</v>
      </c>
      <c r="H155" s="3">
        <f>B149*W142+C149*W143+D149*W144+E149*W145+F149*W146+G149*W147+H149*W148+I149*W149+W$151</f>
        <v>-1.5205665561399138</v>
      </c>
      <c r="I155" s="3">
        <f>B149*X142+C149*X143+D149*X144+E149*X145+F149*X146+G149*X147+H149*X148+I149*X149+X$151</f>
        <v>4.4986198225149492</v>
      </c>
      <c r="J155" s="3">
        <f>B149*Y142+C149*Y143+D149*Y144+E149*Y145+F149*Y146+G149*Y147+H149*Y148+I149*Y149+Y$151</f>
        <v>-5.2103116215297822</v>
      </c>
      <c r="K155" s="3">
        <f>B149*Z142+C149*Z143+D149*Z144+E149*Z145+F149*Z146+G149*Z147+H149*Z148+I149*Z149+Z$151</f>
        <v>-10.438427398907891</v>
      </c>
      <c r="L155" s="3">
        <f>B149*AA142+C149*AA143+D149*AA144+E149*AA145+F149*AA146+G149*AA147+H149*AA148+I149*AA149+AA$151</f>
        <v>-3.8864859669329066</v>
      </c>
      <c r="M155" s="3">
        <f>B149*AB142+C149*AB143+D149*AB144+E149*AB145+F149*AB146+G149*AB147+H149*AB148+I149*AB149+AB$151</f>
        <v>5.8142909953867852</v>
      </c>
    </row>
    <row r="156" spans="1:28" x14ac:dyDescent="0.25">
      <c r="B156" s="3">
        <f>B150*Q142+C150*Q143+D150*Q144+E150*Q145+F150*Q146+G150*Q147+H150*Q148+I150*Q149+Q$151</f>
        <v>-0.33700303112686147</v>
      </c>
      <c r="C156" s="3">
        <f>B150*R142+C150*R143+D150*R144+E150*R145+F150*R146+G150*R147+H150*R148+I150*R149+R$151</f>
        <v>1.4254002269130854</v>
      </c>
      <c r="D156" s="3">
        <f>B150*S142+C150*S143+D150*S144+E150*S145+F150*S146+G150*S147+H150*S148+I150*S149+S$151</f>
        <v>10.046525599278455</v>
      </c>
      <c r="E156" s="3">
        <f>B150*T142+C150*T143+D150*T144+E150*T145+F150*T146+G150*T147+H150*T148+I150*T149+T$151</f>
        <v>1.6533327466414627</v>
      </c>
      <c r="F156" s="3">
        <f>B150*U142+C150*U143+D150*U144+E150*U145+F150*U146+G150*U147+H150*U148+I150*U149+U$151</f>
        <v>-6.1810033711733396</v>
      </c>
      <c r="G156" s="3">
        <f>B150*V142+C150*V143+D150*V144+E150*V145+F150*V146+G150*V147+H150*V148+I150*V149+V$151</f>
        <v>1.3718736810802457</v>
      </c>
      <c r="H156" s="3">
        <f>B150*W142+C150*W143+D150*W144+E150*W145+F150*W146+G150*W147+H150*W148+I150*W149+W$151</f>
        <v>-0.52477170748914959</v>
      </c>
      <c r="I156" s="3">
        <f>B150*X142+C150*X143+D150*X144+E150*X145+F150*X146+G150*X147+H150*X148+I150*X149+X$151</f>
        <v>-3.5466192849576088</v>
      </c>
      <c r="J156" s="3">
        <f>B150*Y142+C150*Y143+D150*Y144+E150*Y145+F150*Y146+G150*Y147+H150*Y148+I150*Y149+Y$151</f>
        <v>0.30714531495185377</v>
      </c>
      <c r="K156" s="3">
        <f>B150*Z142+C150*Z143+D150*Z144+E150*Z145+F150*Z146+G150*Z147+H150*Z148+I150*Z149+Z$151</f>
        <v>-3.2912043230647408</v>
      </c>
      <c r="L156" s="3">
        <f>B150*AA142+C150*AA143+D150*AA144+E150*AA145+F150*AA146+G150*AA147+H150*AA148+I150*AA149+AA$151</f>
        <v>-2.1865293115161641</v>
      </c>
      <c r="M156" s="3">
        <f>B150*AB142+C150*AB143+D150*AB144+E150*AB145+F150*AB146+G150*AB147+H150*AB148+I150*AB149+AB$151</f>
        <v>0.76617056122998417</v>
      </c>
    </row>
    <row r="158" spans="1:28" x14ac:dyDescent="0.25">
      <c r="A158" t="s">
        <v>45</v>
      </c>
      <c r="B158" t="s">
        <v>2</v>
      </c>
      <c r="C158" t="s">
        <v>3</v>
      </c>
      <c r="D158" t="s">
        <v>4</v>
      </c>
      <c r="E158" t="s">
        <v>5</v>
      </c>
      <c r="F158" t="s">
        <v>6</v>
      </c>
      <c r="G158" t="s">
        <v>7</v>
      </c>
      <c r="H158" t="s">
        <v>8</v>
      </c>
      <c r="I158" t="s">
        <v>9</v>
      </c>
      <c r="J158" t="s">
        <v>10</v>
      </c>
      <c r="K158" t="s">
        <v>11</v>
      </c>
      <c r="L158" t="s">
        <v>12</v>
      </c>
      <c r="M158" t="s">
        <v>13</v>
      </c>
    </row>
    <row r="159" spans="1:28" x14ac:dyDescent="0.25">
      <c r="A159" t="str" cm="1">
        <f t="array" ref="A159:A162">C18:C21</f>
        <v>one</v>
      </c>
      <c r="B159" s="1">
        <f>EXP(B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4.1072246842195582E-4</v>
      </c>
      <c r="C159" s="1">
        <f>EXP(C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0.85353218252023355</v>
      </c>
      <c r="D159" s="1">
        <f>EXP(D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6.0415615508621498E-5</v>
      </c>
      <c r="E159" s="1">
        <f>EXP(E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4.4161002343346575E-7</v>
      </c>
      <c r="F159" s="1">
        <f>EXP(F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5.0412254540975129E-3</v>
      </c>
      <c r="G159" s="1">
        <f>EXP(G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3.2130104102032724E-4</v>
      </c>
      <c r="H159" s="1">
        <f>EXP(H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7.0883057767683153E-4</v>
      </c>
      <c r="I159" s="1">
        <f>EXP(I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0.13705534604525296</v>
      </c>
      <c r="J159" s="1">
        <f>EXP(J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1.2358064611348624E-5</v>
      </c>
      <c r="K159" s="1">
        <f>EXP(K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2.0579780337011492E-6</v>
      </c>
      <c r="L159" s="1">
        <f>EXP(L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1.4369696479606297E-5</v>
      </c>
      <c r="M159" s="1">
        <f>EXP(M153-MAX($B153:$M153))/(EXP(B153-MAX($B153:$M153))+EXP(C153-MAX($B153:$M153))+EXP(D153-MAX($B153:$M153))+EXP(E153-MAX($B153:$M153))+EXP(F153-MAX($B153:$M153))+EXP(G153-MAX($B153:$M153))+EXP(H153-MAX($B153:$M153))+EXP(I153-MAX($B153:$M153))+EXP(J153-MAX($B153:$M153))+EXP(K153-MAX($B153:$M153))+EXP(L153-MAX($B153:$M153))+EXP(M153-MAX($B153:$M153)))</f>
        <v>2.8407489286402985E-3</v>
      </c>
    </row>
    <row r="160" spans="1:28" x14ac:dyDescent="0.25">
      <c r="A160" t="str">
        <v>plus</v>
      </c>
      <c r="B160" s="1">
        <f>EXP(B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5.6148629751178761E-5</v>
      </c>
      <c r="C160" s="1">
        <f>EXP(C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0.87404835694027205</v>
      </c>
      <c r="D160" s="1">
        <f>EXP(D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2.6143110994439762E-4</v>
      </c>
      <c r="E160" s="1">
        <f>EXP(E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6.9436158090215375E-6</v>
      </c>
      <c r="F160" s="1">
        <f>EXP(F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4.032183246657336E-3</v>
      </c>
      <c r="G160" s="1">
        <f>EXP(G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7.3273236686690688E-5</v>
      </c>
      <c r="H160" s="1">
        <f>EXP(H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7.7958230491033758E-5</v>
      </c>
      <c r="I160" s="1">
        <f>EXP(I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1.8578266417056751E-3</v>
      </c>
      <c r="J160" s="1">
        <f>EXP(J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6.5135477357248047E-8</v>
      </c>
      <c r="K160" s="1">
        <f>EXP(K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2.5563232830000059E-7</v>
      </c>
      <c r="L160" s="1">
        <f>EXP(L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8.8085409314571343E-6</v>
      </c>
      <c r="M160" s="1">
        <f>EXP(M154-MAX($B154:$M154))/(EXP(B154-MAX($B154:$M154))+EXP(C154-MAX($B154:$M154))+EXP(D154-MAX($B154:$M154))+EXP(E154-MAX($B154:$M154))+EXP(F154-MAX($B154:$M154))+EXP(G154-MAX($B154:$M154))+EXP(H154-MAX($B154:$M154))+EXP(I154-MAX($B154:$M154))+EXP(J154-MAX($B154:$M154))+EXP(K154-MAX($B154:$M154))+EXP(L154-MAX($B154:$M154))+EXP(M154-MAX($B154:$M154)))</f>
        <v>0.11957674903994565</v>
      </c>
    </row>
    <row r="161" spans="1:13" x14ac:dyDescent="0.25">
      <c r="A161" t="str">
        <v>two</v>
      </c>
      <c r="B161" s="1">
        <f>EXP(B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4.8242250384324543E-4</v>
      </c>
      <c r="C161" s="1">
        <f>EXP(C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0.28205536558956423</v>
      </c>
      <c r="D161" s="1">
        <f>EXP(D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1.8787109832253492E-3</v>
      </c>
      <c r="E161" s="1">
        <f>EXP(E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4.3191173636498578E-5</v>
      </c>
      <c r="F161" s="1">
        <f>EXP(F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2.484507713553772E-2</v>
      </c>
      <c r="G161" s="1">
        <f>EXP(G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4.5156711180979585E-4</v>
      </c>
      <c r="H161" s="1">
        <f>EXP(H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3.5484963520866623E-4</v>
      </c>
      <c r="I161" s="1">
        <f>EXP(I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0.14592973469190418</v>
      </c>
      <c r="J161" s="1">
        <f>EXP(J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8.8635651566549407E-6</v>
      </c>
      <c r="K161" s="1">
        <f>EXP(K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4.7540813475165908E-8</v>
      </c>
      <c r="L161" s="1">
        <f>EXP(L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3.3307237848012713E-5</v>
      </c>
      <c r="M161" s="1">
        <f>EXP(M155-MAX($B155:$M155))/(EXP(B155-MAX($B155:$M155))+EXP(C155-MAX($B155:$M155))+EXP(D155-MAX($B155:$M155))+EXP(E155-MAX($B155:$M155))+EXP(F155-MAX($B155:$M155))+EXP(G155-MAX($B155:$M155))+EXP(H155-MAX($B155:$M155))+EXP(I155-MAX($B155:$M155))+EXP(J155-MAX($B155:$M155))+EXP(K155-MAX($B155:$M155))+EXP(L155-MAX($B155:$M155))+EXP(M155-MAX($B155:$M155)))</f>
        <v>0.54391686283145213</v>
      </c>
    </row>
    <row r="162" spans="1:13" x14ac:dyDescent="0.25">
      <c r="A162" t="str">
        <v>equals</v>
      </c>
      <c r="B162" s="1">
        <f>EXP(B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3.0913351167292341E-5</v>
      </c>
      <c r="C162" s="1">
        <f>EXP(C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1.8011425963167298E-4</v>
      </c>
      <c r="D162" s="1">
        <f>EXP(D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0.99920655458234675</v>
      </c>
      <c r="E162" s="1">
        <f>EXP(E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2.2622361227857548E-4</v>
      </c>
      <c r="F162" s="1">
        <f>EXP(F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8.9563073250570312E-8</v>
      </c>
      <c r="G162" s="1">
        <f>EXP(G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1.7072684461793121E-4</v>
      </c>
      <c r="H162" s="1">
        <f>EXP(H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2.5621183526993039E-5</v>
      </c>
      <c r="I162" s="1">
        <f>EXP(I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1.2480369955351215E-6</v>
      </c>
      <c r="J162" s="1">
        <f>EXP(J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5.8870287888863584E-5</v>
      </c>
      <c r="K162" s="1">
        <f>EXP(K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1.6112122971713765E-6</v>
      </c>
      <c r="L162" s="1">
        <f>EXP(L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4.863030906339999E-6</v>
      </c>
      <c r="M162" s="1">
        <f>EXP(M156-MAX($B156:$M156))/(EXP(B156-MAX($B156:$M156))+EXP(C156-MAX($B156:$M156))+EXP(D156-MAX($B156:$M156))+EXP(E156-MAX($B156:$M156))+EXP(F156-MAX($B156:$M156))+EXP(G156-MAX($B156:$M156))+EXP(H156-MAX($B156:$M156))+EXP(I156-MAX($B156:$M156))+EXP(J156-MAX($B156:$M156))+EXP(K156-MAX($B156:$M156))+EXP(L156-MAX($B156:$M156))+EXP(M156-MAX($B156:$M156)))</f>
        <v>9.3164035269714061E-5</v>
      </c>
    </row>
  </sheetData>
  <conditionalFormatting sqref="B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2:C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:D8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4:E84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I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2:M162">
    <cfRule type="colorScale" priority="4">
      <colorScale>
        <cfvo type="min"/>
        <cfvo type="max"/>
        <color rgb="FFFFEF9C"/>
        <color rgb="FF63BE7B"/>
      </colorScale>
    </cfRule>
  </conditionalFormatting>
  <conditionalFormatting sqref="H81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2:I82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3:J83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4:K8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81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82:O8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83:P8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84:Q8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1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2:U8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3:V8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4:W8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BB34-BD07-445A-A39D-7E2E15C26CC2}">
  <dimension ref="A1:T17"/>
  <sheetViews>
    <sheetView workbookViewId="0">
      <selection activeCell="A2" sqref="A2:A5"/>
    </sheetView>
  </sheetViews>
  <sheetFormatPr defaultRowHeight="15" x14ac:dyDescent="0.25"/>
  <sheetData>
    <row r="1" spans="1:20" x14ac:dyDescent="0.25">
      <c r="B1" t="s">
        <v>73</v>
      </c>
      <c r="C1" t="s">
        <v>74</v>
      </c>
      <c r="D1" t="s">
        <v>75</v>
      </c>
      <c r="G1" s="16"/>
      <c r="H1" s="17"/>
      <c r="I1" s="18"/>
      <c r="J1" s="19"/>
      <c r="L1" s="16"/>
      <c r="M1">
        <v>146</v>
      </c>
      <c r="N1">
        <v>208</v>
      </c>
      <c r="O1">
        <v>80</v>
      </c>
    </row>
    <row r="2" spans="1:20" x14ac:dyDescent="0.25">
      <c r="A2" s="16"/>
      <c r="B2">
        <v>146</v>
      </c>
      <c r="C2">
        <v>208</v>
      </c>
      <c r="D2">
        <v>80</v>
      </c>
      <c r="F2" s="16"/>
      <c r="G2" s="16"/>
      <c r="H2" s="39"/>
      <c r="I2" s="40"/>
      <c r="J2" s="41"/>
      <c r="L2" s="17"/>
      <c r="M2">
        <v>0</v>
      </c>
      <c r="N2">
        <v>176</v>
      </c>
      <c r="O2">
        <v>240</v>
      </c>
      <c r="Q2" s="39"/>
      <c r="R2" s="38">
        <f>SQRT((M1^2+M2^2)/2)</f>
        <v>103.23759005323593</v>
      </c>
      <c r="S2" s="38">
        <f>SQRT((N1^2+N2^2)/2)</f>
        <v>192.66551326067673</v>
      </c>
      <c r="T2" s="38">
        <f>SQRT((O1^2+O2^2)/2)</f>
        <v>178.88543819998318</v>
      </c>
    </row>
    <row r="3" spans="1:20" x14ac:dyDescent="0.25">
      <c r="A3" s="17"/>
      <c r="B3">
        <v>0</v>
      </c>
      <c r="C3">
        <v>176</v>
      </c>
      <c r="D3">
        <v>240</v>
      </c>
      <c r="F3" s="17"/>
      <c r="G3" s="39"/>
      <c r="H3" s="17"/>
      <c r="I3" s="42"/>
      <c r="J3" s="43"/>
      <c r="R3" s="38"/>
      <c r="S3" s="38"/>
      <c r="T3" s="38"/>
    </row>
    <row r="4" spans="1:20" x14ac:dyDescent="0.25">
      <c r="A4" s="18"/>
      <c r="B4">
        <v>241</v>
      </c>
      <c r="C4">
        <v>169</v>
      </c>
      <c r="D4">
        <v>131</v>
      </c>
      <c r="F4" s="18"/>
      <c r="G4" s="40"/>
      <c r="H4" s="42"/>
      <c r="I4" s="18"/>
      <c r="J4" s="44"/>
      <c r="L4" s="16"/>
      <c r="M4">
        <v>146</v>
      </c>
      <c r="N4">
        <v>208</v>
      </c>
      <c r="O4">
        <v>80</v>
      </c>
      <c r="R4" s="38"/>
      <c r="S4" s="38"/>
      <c r="T4" s="38"/>
    </row>
    <row r="5" spans="1:20" x14ac:dyDescent="0.25">
      <c r="A5" s="19"/>
      <c r="B5">
        <v>216</v>
      </c>
      <c r="C5">
        <v>109</v>
      </c>
      <c r="D5">
        <v>205</v>
      </c>
      <c r="F5" s="19"/>
      <c r="G5" s="41"/>
      <c r="H5" s="43"/>
      <c r="I5" s="44"/>
      <c r="J5" s="19"/>
      <c r="L5" s="18"/>
      <c r="M5">
        <v>241</v>
      </c>
      <c r="N5">
        <v>169</v>
      </c>
      <c r="O5">
        <v>131</v>
      </c>
      <c r="Q5" s="40"/>
      <c r="R5" s="38">
        <f>SQRT((M4^2+M5^2)/2)</f>
        <v>199.24482427405738</v>
      </c>
      <c r="S5" s="38">
        <f>SQRT((N4^2+N5^2)/2)</f>
        <v>189.50593658247226</v>
      </c>
      <c r="T5" s="38">
        <f>SQRT((O4^2+O5^2)/2)</f>
        <v>108.53801177467736</v>
      </c>
    </row>
    <row r="6" spans="1:20" x14ac:dyDescent="0.25">
      <c r="R6" s="38"/>
      <c r="S6" s="38"/>
      <c r="T6" s="38"/>
    </row>
    <row r="7" spans="1:20" x14ac:dyDescent="0.25">
      <c r="L7" s="16"/>
      <c r="M7">
        <v>146</v>
      </c>
      <c r="N7">
        <v>208</v>
      </c>
      <c r="O7">
        <v>80</v>
      </c>
      <c r="R7" s="38"/>
      <c r="S7" s="38"/>
      <c r="T7" s="38"/>
    </row>
    <row r="8" spans="1:20" x14ac:dyDescent="0.25">
      <c r="L8" s="19"/>
      <c r="M8">
        <v>216</v>
      </c>
      <c r="N8">
        <v>109</v>
      </c>
      <c r="O8">
        <v>205</v>
      </c>
      <c r="Q8" s="41"/>
      <c r="R8" s="38">
        <f>SQRT((M7^2+M8^2)/2)</f>
        <v>184.3529224069963</v>
      </c>
      <c r="S8" s="38">
        <f>SQRT((N7^2+N8^2)/2)</f>
        <v>166.04969135773786</v>
      </c>
      <c r="T8" s="38">
        <f>SQRT((O7^2+O8^2)/2)</f>
        <v>155.60366319595437</v>
      </c>
    </row>
    <row r="9" spans="1:20" x14ac:dyDescent="0.25">
      <c r="R9" s="38"/>
      <c r="S9" s="38"/>
      <c r="T9" s="38"/>
    </row>
    <row r="10" spans="1:20" x14ac:dyDescent="0.25">
      <c r="L10" s="17"/>
      <c r="M10">
        <v>0</v>
      </c>
      <c r="N10">
        <v>176</v>
      </c>
      <c r="O10">
        <v>240</v>
      </c>
      <c r="R10" s="38"/>
      <c r="S10" s="38"/>
      <c r="T10" s="38"/>
    </row>
    <row r="11" spans="1:20" x14ac:dyDescent="0.25">
      <c r="L11" s="18"/>
      <c r="M11">
        <v>241</v>
      </c>
      <c r="N11">
        <v>169</v>
      </c>
      <c r="O11">
        <v>131</v>
      </c>
      <c r="Q11" s="42"/>
      <c r="R11" s="38">
        <f>SQRT((M10^2+M11^2)/2)</f>
        <v>170.41273426595797</v>
      </c>
      <c r="S11" s="38">
        <f>SQRT((N10^2+N11^2)/2)</f>
        <v>172.53550359273885</v>
      </c>
      <c r="T11" s="38">
        <f>SQRT((O10^2+O11^2)/2)</f>
        <v>193.34037343503815</v>
      </c>
    </row>
    <row r="12" spans="1:20" x14ac:dyDescent="0.25">
      <c r="R12" s="38"/>
      <c r="S12" s="38"/>
      <c r="T12" s="38"/>
    </row>
    <row r="13" spans="1:20" x14ac:dyDescent="0.25">
      <c r="L13" s="17"/>
      <c r="M13">
        <v>0</v>
      </c>
      <c r="N13">
        <v>176</v>
      </c>
      <c r="O13">
        <v>240</v>
      </c>
      <c r="R13" s="38"/>
      <c r="S13" s="38"/>
      <c r="T13" s="38"/>
    </row>
    <row r="14" spans="1:20" x14ac:dyDescent="0.25">
      <c r="L14" s="19"/>
      <c r="M14">
        <v>216</v>
      </c>
      <c r="N14">
        <v>109</v>
      </c>
      <c r="O14">
        <v>205</v>
      </c>
      <c r="Q14" s="43"/>
      <c r="R14" s="38">
        <f>SQRT((M13^2+M14^2)/2)</f>
        <v>152.73506473629428</v>
      </c>
      <c r="S14" s="38">
        <f>SQRT((N13^2+N14^2)/2)</f>
        <v>146.38476696705843</v>
      </c>
      <c r="T14" s="38">
        <f>SQRT((O13^2+O14^2)/2)</f>
        <v>223.18714120665643</v>
      </c>
    </row>
    <row r="15" spans="1:20" x14ac:dyDescent="0.25">
      <c r="R15" s="38"/>
      <c r="S15" s="38"/>
      <c r="T15" s="38"/>
    </row>
    <row r="16" spans="1:20" x14ac:dyDescent="0.25">
      <c r="L16" s="18"/>
      <c r="M16">
        <v>241</v>
      </c>
      <c r="N16">
        <v>169</v>
      </c>
      <c r="O16">
        <v>131</v>
      </c>
      <c r="R16" s="38"/>
      <c r="S16" s="38"/>
      <c r="T16" s="38"/>
    </row>
    <row r="17" spans="12:20" x14ac:dyDescent="0.25">
      <c r="L17" s="19"/>
      <c r="M17">
        <v>216</v>
      </c>
      <c r="N17">
        <v>109</v>
      </c>
      <c r="O17">
        <v>205</v>
      </c>
      <c r="Q17" s="44"/>
      <c r="R17" s="38">
        <f>SQRT((M16^2+M17^2)/2)</f>
        <v>228.84164830729569</v>
      </c>
      <c r="S17" s="38">
        <f>SQRT((N16^2+N17^2)/2)</f>
        <v>142.20056258679148</v>
      </c>
      <c r="T17" s="38">
        <f>SQRT((O16^2+O17^2)/2)</f>
        <v>172.02616080119907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baabea-0bd1-4b58-af95-2dbeb5a35144}" enabled="1" method="Privileged" siteId="{3ded8b1b-070d-4629-82e4-c0b019f46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base_model</vt:lpstr>
      <vt:lpstr>color_coding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Nazek Osman</dc:creator>
  <cp:lastModifiedBy>Nazek Osman</cp:lastModifiedBy>
  <dcterms:created xsi:type="dcterms:W3CDTF">2026-09-23T13:57:56Z</dcterms:created>
  <dcterms:modified xsi:type="dcterms:W3CDTF">2026-10-21T18:40:51Z</dcterms:modified>
</cp:coreProperties>
</file>